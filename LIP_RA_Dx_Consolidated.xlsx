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30240" windowHeight="18900" tabRatio="500" firstSheet="9" activeTab="14" autoFilterDateGrouping="1"/>
  </bookViews>
  <sheets>
    <sheet xmlns:r="http://schemas.openxmlformats.org/officeDocument/2006/relationships" name="Index" sheetId="1" state="visible" r:id="rId1"/>
    <sheet xmlns:r="http://schemas.openxmlformats.org/officeDocument/2006/relationships" name="LIP - Gap matrix" sheetId="2" state="visible" r:id="rId2"/>
    <sheet xmlns:r="http://schemas.openxmlformats.org/officeDocument/2006/relationships" name="LIP - Dx value crosswalk" sheetId="3" state="visible" r:id="rId3"/>
    <sheet xmlns:r="http://schemas.openxmlformats.org/officeDocument/2006/relationships" name="LIP - RA crosswalk" sheetId="4" state="visible" r:id="rId4"/>
    <sheet xmlns:r="http://schemas.openxmlformats.org/officeDocument/2006/relationships" name="LIP - Notes" sheetId="5" state="visible" r:id="rId5"/>
    <sheet xmlns:r="http://schemas.openxmlformats.org/officeDocument/2006/relationships" name="RA - Export issues" sheetId="6" state="visible" r:id="rId6"/>
    <sheet xmlns:r="http://schemas.openxmlformats.org/officeDocument/2006/relationships" name="RA - Sources" sheetId="7" state="visible" r:id="rId7"/>
    <sheet xmlns:r="http://schemas.openxmlformats.org/officeDocument/2006/relationships" name="Flex - Questions" sheetId="8" state="visible" r:id="rId8"/>
    <sheet xmlns:r="http://schemas.openxmlformats.org/officeDocument/2006/relationships" name="Flex - Need taxonomy" sheetId="9" state="visible" r:id="rId9"/>
    <sheet xmlns:r="http://schemas.openxmlformats.org/officeDocument/2006/relationships" name="Flex - Coverage grid" sheetId="10" state="visible" r:id="rId10"/>
    <sheet xmlns:r="http://schemas.openxmlformats.org/officeDocument/2006/relationships" name="Flex - Coverage detail" sheetId="11" state="visible" r:id="rId11"/>
    <sheet xmlns:r="http://schemas.openxmlformats.org/officeDocument/2006/relationships" name="Flex - Cost taxonomy" sheetId="12" state="visible" r:id="rId12"/>
    <sheet xmlns:r="http://schemas.openxmlformats.org/officeDocument/2006/relationships" name="Flex - Cost quadrants" sheetId="13" state="visible" r:id="rId13"/>
    <sheet xmlns:r="http://schemas.openxmlformats.org/officeDocument/2006/relationships" name="Flex - Cost incrementality" sheetId="14" state="visible" r:id="rId14"/>
    <sheet xmlns:r="http://schemas.openxmlformats.org/officeDocument/2006/relationships" name="Flex - Cost sources" sheetId="15" state="visible" r:id="rId15"/>
    <sheet xmlns:r="http://schemas.openxmlformats.org/officeDocument/2006/relationships" name="Dx - README" sheetId="16" state="visible" r:id="rId16"/>
    <sheet xmlns:r="http://schemas.openxmlformats.org/officeDocument/2006/relationships" name="Dx - Paradigms" sheetId="17" state="visible" r:id="rId17"/>
    <sheet xmlns:r="http://schemas.openxmlformats.org/officeDocument/2006/relationships" name="Dx - Value Streams" sheetId="18" state="visible" r:id="rId18"/>
    <sheet xmlns:r="http://schemas.openxmlformats.org/officeDocument/2006/relationships" name="Dx - Sources" sheetId="19" state="visible" r:id="rId19"/>
  </sheets>
  <definedNames/>
  <calcPr calcId="191029" fullCalcOnLoad="1"/>
</workbook>
</file>

<file path=xl/styles.xml><?xml version="1.0" encoding="utf-8"?>
<styleSheet xmlns="http://schemas.openxmlformats.org/spreadsheetml/2006/main">
  <numFmts count="0"/>
  <fonts count="15">
    <font>
      <name val="Calibri"/>
      <charset val="1"/>
      <family val="2"/>
      <color theme="1"/>
      <sz val="11"/>
    </font>
    <font>
      <name val="Arial"/>
      <family val="2"/>
      <sz val="10"/>
    </font>
    <font>
      <name val="Arial"/>
      <family val="2"/>
      <b val="1"/>
      <sz val="13"/>
    </font>
    <font>
      <name val="Arial"/>
      <family val="2"/>
      <i val="1"/>
      <sz val="9"/>
    </font>
    <font>
      <name val="Arial"/>
      <family val="2"/>
      <b val="1"/>
      <color rgb="FFFFFFFF"/>
      <sz val="11"/>
    </font>
    <font>
      <name val="Arial"/>
      <family val="2"/>
      <sz val="10"/>
    </font>
    <font>
      <name val="Arial"/>
      <family val="2"/>
      <color rgb="FF0563C1"/>
      <sz val="10"/>
      <u val="single"/>
    </font>
    <font>
      <name val="Arial"/>
      <family val="2"/>
      <b val="1"/>
      <sz val="9"/>
    </font>
    <font>
      <name val="Arial"/>
      <family val="2"/>
      <sz val="9"/>
    </font>
    <font>
      <name val="Arial"/>
      <family val="2"/>
      <b val="1"/>
      <sz val="10"/>
    </font>
    <font>
      <name val="Arial"/>
      <family val="2"/>
      <b val="1"/>
      <sz val="11"/>
    </font>
    <font>
      <name val="Arial"/>
      <family val="2"/>
      <b val="1"/>
      <color rgb="FF1F3864"/>
      <sz val="14"/>
    </font>
    <font>
      <name val="Arial"/>
      <family val="2"/>
      <b val="1"/>
      <color rgb="FF1F3864"/>
      <sz val="12"/>
    </font>
    <font>
      <name val="Arial"/>
      <family val="2"/>
      <b val="1"/>
      <color rgb="FFFFFFFF"/>
      <sz val="10"/>
    </font>
    <font>
      <name val="Arial"/>
      <family val="2"/>
      <i val="1"/>
      <sz val="10"/>
    </font>
  </fonts>
  <fills count="12">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4CCCC"/>
        <bgColor rgb="FFFCE4D6"/>
      </patternFill>
    </fill>
    <fill>
      <patternFill patternType="solid">
        <fgColor rgb="FFD9EAD3"/>
        <bgColor rgb="FFE2EFDA"/>
      </patternFill>
    </fill>
    <fill>
      <patternFill patternType="solid">
        <fgColor rgb="FFEDEDED"/>
        <bgColor rgb="FFF2F2F2"/>
      </patternFill>
    </fill>
    <fill>
      <patternFill patternType="solid">
        <fgColor rgb="FFDDEBF7"/>
        <bgColor rgb="FFEDEDED"/>
      </patternFill>
    </fill>
    <fill>
      <patternFill patternType="solid">
        <fgColor rgb="FFE4DFEC"/>
        <bgColor rgb="FFDDEBF7"/>
      </patternFill>
    </fill>
    <fill>
      <patternFill patternType="solid">
        <fgColor rgb="FFE2EFDA"/>
        <bgColor rgb="FFD9EAD3"/>
      </patternFill>
    </fill>
    <fill>
      <patternFill patternType="solid">
        <fgColor rgb="FFFCE4D6"/>
        <bgColor rgb="FFFFF2CC"/>
      </patternFill>
    </fill>
    <fill>
      <patternFill patternType="solid">
        <fgColor rgb="FFF2F2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6">
    <xf numFmtId="0" fontId="0" fillId="0" borderId="0" pivotButton="0" quotePrefix="0" xfId="0"/>
    <xf numFmtId="0" fontId="14"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wrapText="1"/>
    </xf>
    <xf numFmtId="0" fontId="4"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horizontal="center" vertical="top" wrapText="1"/>
    </xf>
    <xf numFmtId="0" fontId="8" fillId="4" borderId="1" applyAlignment="1" pivotButton="0" quotePrefix="0" xfId="0">
      <alignment horizontal="center" vertical="top" wrapText="1"/>
    </xf>
    <xf numFmtId="0" fontId="8" fillId="5" borderId="1" applyAlignment="1" pivotButton="0" quotePrefix="0" xfId="0">
      <alignment horizontal="center" vertical="top" wrapText="1"/>
    </xf>
    <xf numFmtId="0" fontId="8" fillId="6" borderId="1" applyAlignment="1" pivotButton="0" quotePrefix="0" xfId="0">
      <alignment horizontal="center" vertical="top" wrapText="1"/>
    </xf>
    <xf numFmtId="0" fontId="5" fillId="0" borderId="1" applyAlignment="1" pivotButton="0" quotePrefix="0" xfId="0">
      <alignment horizontal="center" vertical="top" wrapText="1"/>
    </xf>
    <xf numFmtId="0" fontId="9"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0" borderId="0" pivotButton="0" quotePrefix="0" xfId="0"/>
    <xf numFmtId="0" fontId="10" fillId="0" borderId="0" pivotButton="0" quotePrefix="0" xfId="0"/>
    <xf numFmtId="0" fontId="8" fillId="0" borderId="0" pivotButton="0" quotePrefix="0" xfId="0"/>
    <xf numFmtId="0" fontId="8" fillId="5" borderId="0" pivotButton="0" quotePrefix="0" xfId="0"/>
    <xf numFmtId="0" fontId="8" fillId="3" borderId="0" pivotButton="0" quotePrefix="0" xfId="0"/>
    <xf numFmtId="0" fontId="8" fillId="4" borderId="0" pivotButton="0" quotePrefix="0" xfId="0"/>
    <xf numFmtId="0" fontId="8" fillId="7" borderId="0" pivotButton="0" quotePrefix="0" xfId="0"/>
    <xf numFmtId="0" fontId="8" fillId="8" borderId="0" pivotButton="0" quotePrefix="0" xfId="0"/>
    <xf numFmtId="0" fontId="3" fillId="0" borderId="0" applyAlignment="1" pivotButton="0" quotePrefix="0" xfId="0">
      <alignment horizontal="center"/>
    </xf>
    <xf numFmtId="0" fontId="7" fillId="0" borderId="1" applyAlignment="1" pivotButton="0" quotePrefix="0" xfId="0">
      <alignment horizontal="left" vertical="center"/>
    </xf>
    <xf numFmtId="0" fontId="8" fillId="5" borderId="1" applyAlignment="1" pivotButton="0" quotePrefix="0" xfId="0">
      <alignment horizontal="center" vertical="center"/>
    </xf>
    <xf numFmtId="0" fontId="8" fillId="8" borderId="1" applyAlignment="1" pivotButton="0" quotePrefix="0" xfId="0">
      <alignment horizontal="center" vertical="center"/>
    </xf>
    <xf numFmtId="0" fontId="8" fillId="3" borderId="1" applyAlignment="1" pivotButton="0" quotePrefix="0" xfId="0">
      <alignment horizontal="center" vertical="center"/>
    </xf>
    <xf numFmtId="0" fontId="8" fillId="4" borderId="1" applyAlignment="1" pivotButton="0" quotePrefix="0" xfId="0">
      <alignment horizontal="center" vertical="center"/>
    </xf>
    <xf numFmtId="0" fontId="8" fillId="7" borderId="1" applyAlignment="1" pivotButton="0" quotePrefix="0" xfId="0">
      <alignment horizontal="center" vertical="center"/>
    </xf>
    <xf numFmtId="0" fontId="7" fillId="0" borderId="0" applyAlignment="1" pivotButton="0" quotePrefix="0" xfId="0">
      <alignment horizontal="center"/>
    </xf>
    <xf numFmtId="0" fontId="8" fillId="5" borderId="1" applyAlignment="1" pivotButton="0" quotePrefix="0" xfId="0">
      <alignment vertical="top" wrapText="1"/>
    </xf>
    <xf numFmtId="0" fontId="8" fillId="8" borderId="1" applyAlignment="1" pivotButton="0" quotePrefix="0" xfId="0">
      <alignment vertical="top" wrapText="1"/>
    </xf>
    <xf numFmtId="0" fontId="8" fillId="3" borderId="1" applyAlignment="1" pivotButton="0" quotePrefix="0" xfId="0">
      <alignment vertical="top" wrapText="1"/>
    </xf>
    <xf numFmtId="0" fontId="8" fillId="4" borderId="1" applyAlignment="1" pivotButton="0" quotePrefix="0" xfId="0">
      <alignment vertical="top" wrapText="1"/>
    </xf>
    <xf numFmtId="0" fontId="8" fillId="7" borderId="1"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7" fillId="7" borderId="1" applyAlignment="1" pivotButton="0" quotePrefix="0" xfId="0">
      <alignment vertical="top" wrapText="1"/>
    </xf>
    <xf numFmtId="0" fontId="7" fillId="9" borderId="1" applyAlignment="1" pivotButton="0" quotePrefix="0" xfId="0">
      <alignment vertical="top" wrapText="1"/>
    </xf>
    <xf numFmtId="0" fontId="7" fillId="1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wrapText="1"/>
    </xf>
    <xf numFmtId="0" fontId="9" fillId="0" borderId="0" pivotButton="0" quotePrefix="0" xfId="0"/>
    <xf numFmtId="0" fontId="11" fillId="0" borderId="0" pivotButton="0" quotePrefix="0" xfId="0"/>
    <xf numFmtId="0" fontId="5" fillId="0" borderId="0" applyAlignment="1" pivotButton="0" quotePrefix="0" xfId="0">
      <alignment vertical="top" wrapText="1"/>
    </xf>
    <xf numFmtId="0" fontId="12" fillId="0" borderId="0" pivotButton="0" quotePrefix="0" xfId="0"/>
    <xf numFmtId="0" fontId="13" fillId="2" borderId="1" applyAlignment="1" pivotButton="0" quotePrefix="0" xfId="0">
      <alignment vertical="top" wrapText="1"/>
    </xf>
    <xf numFmtId="0" fontId="9" fillId="0" borderId="1" applyAlignment="1" pivotButton="0" quotePrefix="0" xfId="0">
      <alignment vertical="top" wrapText="1"/>
    </xf>
    <xf numFmtId="0" fontId="5" fillId="0" borderId="1" applyAlignment="1" pivotButton="0" quotePrefix="0" xfId="0">
      <alignment vertical="top" wrapText="1"/>
    </xf>
    <xf numFmtId="0" fontId="9" fillId="11" borderId="1" applyAlignment="1" pivotButton="0" quotePrefix="0" xfId="0">
      <alignment vertical="top" wrapText="1"/>
    </xf>
    <xf numFmtId="0" fontId="5" fillId="11"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4DFEC"/>
      <rgbColor rgb="FF000080"/>
      <rgbColor rgb="FFFF00FF"/>
      <rgbColor rgb="FFFFFF00"/>
      <rgbColor rgb="FF00FFFF"/>
      <rgbColor rgb="FF800080"/>
      <rgbColor rgb="FF800000"/>
      <rgbColor rgb="FF008080"/>
      <rgbColor rgb="FF0000FF"/>
      <rgbColor rgb="FF00CCFF"/>
      <rgbColor rgb="FFE2EFDA"/>
      <rgbColor rgb="FFD9EAD3"/>
      <rgbColor rgb="FFFCE4D6"/>
      <rgbColor rgb="FFEDEDED"/>
      <rgbColor rgb="FFF2F2F2"/>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C4" authorId="0" shapeId="0">
      <text>
        <t>What benefits are created by use case?</t>
      </text>
    </comment>
    <comment ref="D4" authorId="0" shapeId="0">
      <text>
        <t>What avoided infrastructure and operational costs can be quantified?</t>
      </text>
    </comment>
    <comment ref="E4" authorId="0" shapeId="0">
      <text>
        <t>How should benefits and incentives be shared amongst PG&amp;E, aggregators, and customers?</t>
      </text>
    </comment>
    <comment ref="F4" authorId="0" shapeId="0">
      <text>
        <t>How do we determine the real-time and forward-looking value of flexibility across all grid needs?</t>
      </text>
    </comment>
    <comment ref="G4" authorId="0" shapeId="0">
      <text>
        <t>How can we accurately calculate the fully loaded cost of each flex resource? What costs should be included beyond incentives? How do these costs vary by technology?</t>
      </text>
    </comment>
    <comment ref="H4" authorId="0" shapeId="0">
      <text>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text>
    </comment>
    <comment ref="I4" authorId="0" shapeId="0">
      <text>
        <t>What procurement mechanism best matches each type of grid need: competitive solicitations, reverse auctions, fixed-price procurement, bilaterals, or tariff-based participation?</t>
      </text>
    </comment>
    <comment ref="J4" authorId="0" shapeId="0">
      <text>
        <t>How should PG&amp;E determine the maximum amount it is willing to pay for flexibility?</t>
      </text>
    </comment>
    <comment ref="K4" authorId="0" shapeId="0">
      <text>
        <t>How should bids be evaluated and selected when multiple providers can solve the same grid need?</t>
      </text>
    </comment>
    <comment ref="L4" authorId="0" shapeId="0">
      <text>
        <t>How should flexibility procurement interact with other participation pathways?</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hk.xlsx" TargetMode="External" Id="rId1"/><Relationship Type="http://schemas.openxmlformats.org/officeDocument/2006/relationships/hyperlink" Target="chk.xlsx" TargetMode="External" Id="rId2"/><Relationship Type="http://schemas.openxmlformats.org/officeDocument/2006/relationships/hyperlink" Target="chk.xlsx" TargetMode="External" Id="rId3"/><Relationship Type="http://schemas.openxmlformats.org/officeDocument/2006/relationships/hyperlink" Target="chk.xlsx" TargetMode="External" Id="rId4"/><Relationship Type="http://schemas.openxmlformats.org/officeDocument/2006/relationships/hyperlink" Target="chk.xlsx" TargetMode="External" Id="rId5"/><Relationship Type="http://schemas.openxmlformats.org/officeDocument/2006/relationships/hyperlink" Target="chk.xlsx" TargetMode="External" Id="rId6"/><Relationship Type="http://schemas.openxmlformats.org/officeDocument/2006/relationships/hyperlink" Target="chk.xlsx" TargetMode="External" Id="rId7"/><Relationship Type="http://schemas.openxmlformats.org/officeDocument/2006/relationships/hyperlink" Target="chk.xlsx" TargetMode="External" Id="rId8"/><Relationship Type="http://schemas.openxmlformats.org/officeDocument/2006/relationships/hyperlink" Target="chk.xlsx" TargetMode="External" Id="rId9"/><Relationship Type="http://schemas.openxmlformats.org/officeDocument/2006/relationships/hyperlink" Target="chk.xlsx" TargetMode="External" Id="rId10"/><Relationship Type="http://schemas.openxmlformats.org/officeDocument/2006/relationships/hyperlink" Target="chk.xlsx" TargetMode="External" Id="rId11"/><Relationship Type="http://schemas.openxmlformats.org/officeDocument/2006/relationships/hyperlink" Target="chk.xlsx" TargetMode="External" Id="rId12"/><Relationship Type="http://schemas.openxmlformats.org/officeDocument/2006/relationships/hyperlink" Target="chk.xlsx" TargetMode="External" Id="rId13"/><Relationship Type="http://schemas.openxmlformats.org/officeDocument/2006/relationships/hyperlink" Target="chk.xlsx" TargetMode="External" Id="rId14"/><Relationship Type="http://schemas.openxmlformats.org/officeDocument/2006/relationships/hyperlink" Target="chk.xlsx" TargetMode="External" Id="rId15"/><Relationship Type="http://schemas.openxmlformats.org/officeDocument/2006/relationships/hyperlink" Target="chk.xlsx" TargetMode="External" Id="rId16"/><Relationship Type="http://schemas.openxmlformats.org/officeDocument/2006/relationships/hyperlink" Target="chk.xlsx" TargetMode="External" Id="rId17"/><Relationship Type="http://schemas.openxmlformats.org/officeDocument/2006/relationships/hyperlink" Target="chk.xlsx" TargetMode="External" Id="rId18"/></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2"/>
  <sheetViews>
    <sheetView zoomScaleNormal="100" workbookViewId="0">
      <selection activeCell="B15" sqref="B15"/>
    </sheetView>
  </sheetViews>
  <sheetFormatPr baseColWidth="10" defaultColWidth="8.6640625" defaultRowHeight="15"/>
  <cols>
    <col width="8" customWidth="1" min="1" max="1"/>
    <col width="28" customWidth="1" min="2" max="2"/>
    <col width="90" customWidth="1" min="3" max="3"/>
  </cols>
  <sheetData>
    <row r="1" ht="17" customHeight="1">
      <c r="A1" s="2" t="inlineStr">
        <is>
          <t>LIP applicability: consolidated workbook</t>
        </is>
      </c>
    </row>
    <row r="2">
      <c r="A2" s="3" t="inlineStr">
        <is>
          <t>Load Impact Protocols tested against RA/DDEMI export questions and distribution value streams; flexibility value and cost coverage. Prepared 2026-10-03.</t>
        </is>
      </c>
    </row>
    <row r="4">
      <c r="A4" s="4" t="inlineStr">
        <is>
          <t>Group</t>
        </is>
      </c>
      <c r="B4" s="4" t="inlineStr">
        <is>
          <t>Sheet</t>
        </is>
      </c>
      <c r="C4" s="4" t="inlineStr">
        <is>
          <t>Contents</t>
        </is>
      </c>
    </row>
    <row r="5">
      <c r="A5" s="5" t="inlineStr">
        <is>
          <t>LIP</t>
        </is>
      </c>
      <c r="B5" s="6" t="inlineStr">
        <is>
          <t>LIP - Gap matrix</t>
        </is>
      </c>
      <c r="C5" s="7" t="inlineStr">
        <is>
          <t>12 LIP gaps with definitions, RA/DDEMI and distribution needs, asset classes, R&amp;D, and testable hypotheses</t>
        </is>
      </c>
    </row>
    <row r="6">
      <c r="A6" s="5" t="inlineStr">
        <is>
          <t>LIP</t>
        </is>
      </c>
      <c r="B6" s="6" t="inlineStr">
        <is>
          <t>LIP - Dx value crosswalk</t>
        </is>
      </c>
      <c r="C6" s="7" t="inlineStr">
        <is>
          <t>Each distribution value stream: forecast attribute needed, whether the LIPs supply it, binding gaps</t>
        </is>
      </c>
    </row>
    <row r="7">
      <c r="A7" s="5" t="inlineStr">
        <is>
          <t>LIP</t>
        </is>
      </c>
      <c r="B7" s="6" t="inlineStr">
        <is>
          <t>LIP - RA crosswalk</t>
        </is>
      </c>
      <c r="C7" s="7" t="inlineStr">
        <is>
          <t>Each RA/DDEMI issue: related LIP gaps and what the LIPs would need to answer</t>
        </is>
      </c>
    </row>
    <row r="8">
      <c r="A8" s="5" t="inlineStr">
        <is>
          <t>LIP</t>
        </is>
      </c>
      <c r="B8" s="6" t="inlineStr">
        <is>
          <t>LIP - Notes</t>
        </is>
      </c>
      <c r="C8" s="7" t="inlineStr">
        <is>
          <t>Premise, severity scale, hypothesis thresholds and assumptions</t>
        </is>
      </c>
    </row>
    <row r="9">
      <c r="A9" s="5" t="inlineStr">
        <is>
          <t>RA</t>
        </is>
      </c>
      <c r="B9" s="6" t="inlineStr">
        <is>
          <t>RA - Export issues</t>
        </is>
      </c>
      <c r="C9" s="7" t="inlineStr">
        <is>
          <t>CPUC's eight BTM-export issues: proposals, CPUC response, DDEMI Track 1 status and description</t>
        </is>
      </c>
    </row>
    <row r="10">
      <c r="A10" s="5" t="inlineStr">
        <is>
          <t>RA</t>
        </is>
      </c>
      <c r="B10" s="6" t="inlineStr">
        <is>
          <t>RA - Sources</t>
        </is>
      </c>
      <c r="C10" s="7" t="inlineStr">
        <is>
          <t>Sources for the RA sheet</t>
        </is>
      </c>
    </row>
    <row r="11">
      <c r="A11" s="5" t="inlineStr">
        <is>
          <t>Flex</t>
        </is>
      </c>
      <c r="B11" s="6" t="inlineStr">
        <is>
          <t>Flex - Questions</t>
        </is>
      </c>
      <c r="C11" s="7" t="inlineStr">
        <is>
          <t>The ten value-and-cost questions: full text, layer, question type, and what a complete answer looks like</t>
        </is>
      </c>
    </row>
    <row r="12" ht="29" customHeight="1">
      <c r="A12" s="5" t="inlineStr">
        <is>
          <t>Flex</t>
        </is>
      </c>
      <c r="B12" s="6" t="inlineStr">
        <is>
          <t>Flex - Need taxonomy</t>
        </is>
      </c>
      <c r="C12" s="7" t="inlineStr">
        <is>
          <t>Grid needs and voltage services (N1–N7, V1–V4): attributes that set valuation, willingness to pay and procurement</t>
        </is>
      </c>
    </row>
    <row r="13">
      <c r="A13" s="5" t="inlineStr">
        <is>
          <t>Flex</t>
        </is>
      </c>
      <c r="B13" s="6" t="inlineStr">
        <is>
          <t>Flex - Coverage grid</t>
        </is>
      </c>
      <c r="C13" s="7" t="inlineStr">
        <is>
          <t>Need × question grid tagged Answered / Partial / Gap / Design / Policy, with gap counts</t>
        </is>
      </c>
    </row>
    <row r="14">
      <c r="A14" s="5" t="inlineStr">
        <is>
          <t>Flex</t>
        </is>
      </c>
      <c r="B14" s="6" t="inlineStr">
        <is>
          <t>Flex - Coverage detail</t>
        </is>
      </c>
      <c r="C14" s="7" t="inlineStr">
        <is>
          <t>One row per need × question with the note behind each tag; filterable</t>
        </is>
      </c>
    </row>
    <row r="15">
      <c r="A15" s="5" t="inlineStr">
        <is>
          <t>Flex</t>
        </is>
      </c>
      <c r="B15" s="6" t="inlineStr">
        <is>
          <t>Flex - Cost taxonomy</t>
        </is>
      </c>
      <c r="C15" s="7" t="inlineStr">
        <is>
          <t>Fully loaded cost components (C1–C14) by quadrant and technology, with benchmarks and gaps</t>
        </is>
      </c>
    </row>
    <row r="16">
      <c r="A16" s="5" t="inlineStr">
        <is>
          <t>Flex</t>
        </is>
      </c>
      <c r="B16" s="6" t="inlineStr">
        <is>
          <t>Flex - Cost quadrants</t>
        </is>
      </c>
      <c r="C16" s="7" t="inlineStr">
        <is>
          <t>What each cost quadrant is for, how to annualize it, and which decision it feeds</t>
        </is>
      </c>
    </row>
    <row r="17" ht="29" customHeight="1">
      <c r="A17" s="5" t="inlineStr">
        <is>
          <t>Flex</t>
        </is>
      </c>
      <c r="B17" s="6" t="inlineStr">
        <is>
          <t>Flex - Cost incrementality</t>
        </is>
      </c>
      <c r="C17" s="7" t="inlineStr">
        <is>
          <t>Fully, partly and non-incremental cases by technology: enabling step, components that attach, capacity incrementality concern</t>
        </is>
      </c>
    </row>
    <row r="18">
      <c r="A18" s="5" t="inlineStr">
        <is>
          <t>Flex</t>
        </is>
      </c>
      <c r="B18" s="6" t="inlineStr">
        <is>
          <t>Flex - Cost sources</t>
        </is>
      </c>
      <c r="C18" s="7" t="inlineStr">
        <is>
          <t>Sources for the cost sheets</t>
        </is>
      </c>
    </row>
    <row r="19">
      <c r="A19" s="5" t="inlineStr">
        <is>
          <t>Dx</t>
        </is>
      </c>
      <c r="B19" s="6" t="inlineStr">
        <is>
          <t>Dx - README</t>
        </is>
      </c>
      <c r="C19" s="7" t="inlineStr">
        <is>
          <t>Distribution value matrix guide</t>
        </is>
      </c>
    </row>
    <row r="20">
      <c r="A20" s="5" t="inlineStr">
        <is>
          <t>Dx</t>
        </is>
      </c>
      <c r="B20" s="6" t="inlineStr">
        <is>
          <t>Dx - Paradigms</t>
        </is>
      </c>
      <c r="C20" s="7" t="inlineStr">
        <is>
          <t>Shadow price, engineering avoided cost and market price: structure and requirements</t>
        </is>
      </c>
    </row>
    <row r="21">
      <c r="A21" s="5" t="inlineStr">
        <is>
          <t>Dx</t>
        </is>
      </c>
      <c r="B21" s="6" t="inlineStr">
        <is>
          <t>Dx - Value Streams</t>
        </is>
      </c>
      <c r="C21" s="7" t="inlineStr">
        <is>
          <t>Deferral and bridge-to-wires value streams (deferral_1–6, bridge_1–7)</t>
        </is>
      </c>
    </row>
    <row r="22">
      <c r="A22" s="5" t="inlineStr">
        <is>
          <t>Dx</t>
        </is>
      </c>
      <c r="B22" s="6" t="inlineStr">
        <is>
          <t>Dx - Sources</t>
        </is>
      </c>
      <c r="C22" s="7" t="inlineStr">
        <is>
          <t>Sources for the distribution sheets</t>
        </is>
      </c>
    </row>
  </sheetData>
  <hyperlinks>
    <hyperlink xmlns:r="http://schemas.openxmlformats.org/officeDocument/2006/relationships" ref="B5" location="'LIP%20-%20Gap%20matrix'!A1" r:id="rId1"/>
    <hyperlink xmlns:r="http://schemas.openxmlformats.org/officeDocument/2006/relationships" ref="B6" location="'LIP%20-%20Dx%20value%20crosswalk'!A1" r:id="rId2"/>
    <hyperlink xmlns:r="http://schemas.openxmlformats.org/officeDocument/2006/relationships" ref="B7" location="'LIP%20-%20RA%20crosswalk'!A1" r:id="rId3"/>
    <hyperlink xmlns:r="http://schemas.openxmlformats.org/officeDocument/2006/relationships" ref="B8" location="'LIP%20-%20Notes'!A1" r:id="rId4"/>
    <hyperlink xmlns:r="http://schemas.openxmlformats.org/officeDocument/2006/relationships" ref="B9" location="'RA%20-%20Export%20issues'!A1" r:id="rId5"/>
    <hyperlink xmlns:r="http://schemas.openxmlformats.org/officeDocument/2006/relationships" ref="B10" location="'RA%20-%20Sources'!A1" r:id="rId6"/>
    <hyperlink xmlns:r="http://schemas.openxmlformats.org/officeDocument/2006/relationships" ref="B11" location="'Flex%20-%20Questions'!A1" r:id="rId7"/>
    <hyperlink xmlns:r="http://schemas.openxmlformats.org/officeDocument/2006/relationships" ref="B12" location="'Flex%20-%20Need%20taxonomy'!A1" r:id="rId8"/>
    <hyperlink xmlns:r="http://schemas.openxmlformats.org/officeDocument/2006/relationships" ref="B13" location="'Flex%20-%20Coverage%20grid'!A1" r:id="rId9"/>
    <hyperlink xmlns:r="http://schemas.openxmlformats.org/officeDocument/2006/relationships" ref="B14" location="'Flex%20-%20Coverage%20detail'!A1" r:id="rId10"/>
    <hyperlink xmlns:r="http://schemas.openxmlformats.org/officeDocument/2006/relationships" ref="B15" location="'Flex%20-%20Cost%20taxonomy'!A1" r:id="rId11"/>
    <hyperlink xmlns:r="http://schemas.openxmlformats.org/officeDocument/2006/relationships" ref="B16" location="'Flex%20-%20Cost%20quadrants'!A1" r:id="rId12"/>
    <hyperlink xmlns:r="http://schemas.openxmlformats.org/officeDocument/2006/relationships" ref="B17" location="'Flex%20-%20Cost%20incrementality'!A1" r:id="rId13"/>
    <hyperlink xmlns:r="http://schemas.openxmlformats.org/officeDocument/2006/relationships" ref="B18" location="'Flex%20-%20Cost%20sources'!A1" r:id="rId14"/>
    <hyperlink xmlns:r="http://schemas.openxmlformats.org/officeDocument/2006/relationships" ref="B19" location="'Dx%20-%20README'!A1" r:id="rId15"/>
    <hyperlink xmlns:r="http://schemas.openxmlformats.org/officeDocument/2006/relationships" ref="B20" location="'Dx%20-%20Paradigms'!A1" r:id="rId16"/>
    <hyperlink xmlns:r="http://schemas.openxmlformats.org/officeDocument/2006/relationships" ref="B21" location="'Dx%20-%20Value%20Streams'!A1" r:id="rId17"/>
    <hyperlink xmlns:r="http://schemas.openxmlformats.org/officeDocument/2006/relationships" ref="B22" location="'Dx%20-%20Sources'!A1" r:id="rId18"/>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15"/>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6" customWidth="1" min="1" max="1"/>
    <col width="20" customWidth="1" min="2" max="2"/>
    <col width="34" customWidth="1" min="3" max="3"/>
    <col width="38" customWidth="1" min="4" max="4"/>
    <col width="34" customWidth="1" min="5" max="5"/>
    <col width="9" customWidth="1" min="6" max="6"/>
    <col width="38" customWidth="1" min="7" max="7"/>
    <col width="20" customWidth="1" min="8" max="8"/>
    <col width="30" customWidth="1" min="9" max="9"/>
    <col width="10" customWidth="1" min="10" max="11"/>
    <col width="30" customWidth="1" min="12" max="14"/>
    <col width="28" customWidth="1" min="15" max="15"/>
    <col width="38" customWidth="1" min="16" max="16"/>
    <col width="46" customWidth="1" min="17" max="17"/>
    <col width="40" customWidth="1" min="18" max="18"/>
  </cols>
  <sheetData>
    <row r="1" ht="17" customHeight="1">
      <c r="A1" s="2" t="inlineStr">
        <is>
          <t>LIP gap matrix: RA/DDEMI and distribution</t>
        </is>
      </c>
    </row>
    <row r="2">
      <c r="A2" s="3" t="inlineStr">
        <is>
          <t>Premise tested: LIPs as a sufficient forecasting tool for RA, distribution and transmission. Severity: High = LIP output unusable for the use case without new method; Medium = usable with adjustment or added reporting; Low = minor.</t>
        </is>
      </c>
    </row>
    <row r="3" ht="30" customHeight="1">
      <c r="A3" s="8" t="inlineStr">
        <is>
          <t>ID</t>
        </is>
      </c>
      <c r="B3" s="8" t="inlineStr">
        <is>
          <t>Gap</t>
        </is>
      </c>
      <c r="C3" s="8" t="inlineStr">
        <is>
          <t>Definition</t>
        </is>
      </c>
      <c r="D3" s="8" t="inlineStr">
        <is>
          <t>LIP today</t>
        </is>
      </c>
      <c r="E3" s="8" t="inlineStr">
        <is>
          <t>RA / DDEMI need</t>
        </is>
      </c>
      <c r="F3" s="8" t="inlineStr">
        <is>
          <t>RA issue #</t>
        </is>
      </c>
      <c r="G3" s="8" t="inlineStr">
        <is>
          <t>Distribution need</t>
        </is>
      </c>
      <c r="H3" s="8" t="inlineStr">
        <is>
          <t>Dx value streams</t>
        </is>
      </c>
      <c r="I3" s="8" t="inlineStr">
        <is>
          <t>Transmission note</t>
        </is>
      </c>
      <c r="J3" s="8" t="inlineStr">
        <is>
          <t>Severity: RA</t>
        </is>
      </c>
      <c r="K3" s="8" t="inlineStr">
        <is>
          <t>Severity: Dx</t>
        </is>
      </c>
      <c r="L3" s="8" t="inlineStr">
        <is>
          <t>Smart thermostats</t>
        </is>
      </c>
      <c r="M3" s="8" t="inlineStr">
        <is>
          <t>Battery storage</t>
        </is>
      </c>
      <c r="N3" s="8" t="inlineStr">
        <is>
          <t>EV managed charging (V1G)</t>
        </is>
      </c>
      <c r="O3" s="8" t="inlineStr">
        <is>
          <t>Bidirectional EV / V2G</t>
        </is>
      </c>
      <c r="P3" s="8" t="inlineStr">
        <is>
          <t>Testing / R&amp;D</t>
        </is>
      </c>
      <c r="Q3" s="8" t="inlineStr">
        <is>
          <t>Testable hypothesis (predicted outcome)</t>
        </is>
      </c>
      <c r="R3" s="8" t="inlineStr">
        <is>
          <t>Test design and metric</t>
        </is>
      </c>
    </row>
    <row r="4" ht="78" customHeight="1">
      <c r="A4" s="9" t="inlineStr">
        <is>
          <t>G1</t>
        </is>
      </c>
      <c r="B4" s="9" t="inlineStr">
        <is>
          <t>Spatial resolution</t>
        </is>
      </c>
      <c r="C4" s="10" t="inlineStr">
        <is>
          <t>The finest geographic unit at which LIP impacts are estimated and reported, compared with the unit at which a need is defined (system, local area, feeder, transformer).</t>
        </is>
      </c>
      <c r="D4" s="10" t="inlineStr">
        <is>
          <t>Program and segment totals. Sub-LAP ex ante only for August and only when local RA is sought (D.10-06-036). Nothing at feeder, bank or transformer level.</t>
        </is>
      </c>
      <c r="E4" s="10" t="inlineStr">
        <is>
          <t>DDEMI aggregations register within a sub-LAP; Track 2 is considering finer location. Local RA uses sub-LAP breakdowns.</t>
        </is>
      </c>
      <c r="F4" s="10" t="inlineStr">
        <is>
          <t>8</t>
        </is>
      </c>
      <c r="G4" s="10" t="inlineStr">
        <is>
          <t>Impact at the constrained element (feeder, substation bank, secondary transformer), for each element with a need.</t>
        </is>
      </c>
      <c r="H4" s="10" t="inlineStr">
        <is>
          <t>deferral_1, deferral_4, deferral_5, bridge_1, bridge_3, bridge_6</t>
        </is>
      </c>
      <c r="I4" s="10" t="inlineStr">
        <is>
          <t>Local capacity areas need impacts in every month with a local need; the August-only sub-LAP breakdown is the only locational output.</t>
        </is>
      </c>
      <c r="J4" s="11" t="inlineStr">
        <is>
          <t>Medium</t>
        </is>
      </c>
      <c r="K4" s="12" t="inlineStr">
        <is>
          <t>High</t>
        </is>
      </c>
      <c r="L4" s="10" t="inlineStr">
        <is>
          <t>Many small units per feeder; a feeder-level estimate from tens of customers is noisy. Impact varies by climate zone inside a sub-LAP.</t>
        </is>
      </c>
      <c r="M4" s="10" t="inlineStr">
        <is>
          <t>Adoption clusters in solar-heavy, higher-income areas, so a sub-LAP average misstates capacity on any given feeder.</t>
        </is>
      </c>
      <c r="N4" s="10" t="inlineStr">
        <is>
          <t>The binding unit is the secondary transformer, often 2–10 customers. Program averages say little about whether that transformer is relieved.</t>
        </is>
      </c>
      <c r="O4" s="10" t="inlineStr">
        <is>
          <t>Mobile: the vehicle's location at the need hour is not fixed (home, work, elsewhere).</t>
        </is>
      </c>
      <c r="P4" s="10" t="inlineStr">
        <is>
          <t>Partial-pooling (hierarchical) models that produce feeder-level ex ante from AMI. Geo-targeted dispatch tests on constrained feeders. Customer-level ex post keyed to circuit.</t>
        </is>
      </c>
      <c r="Q4" s="10" t="inlineStr">
        <is>
          <t>Feeder-level ex ante from a partial-pooling model predicts observed feeder event-hour impacts better than program-average per-customer impact times feeder enrollment. Predicted: at least 25% lower mean absolute percentage error on held-out feeders, with the largest improvement on feeders with fewer than 50 participants.</t>
        </is>
      </c>
      <c r="R4" s="10" t="inlineStr">
        <is>
          <t>Geo-targeted dispatch on 20–40 feeders; AMI ex post per feeder; compare both predictors out of sample. Metric: feeder-level MAPE and bias.</t>
        </is>
      </c>
    </row>
    <row r="5" ht="65" customHeight="1">
      <c r="A5" s="9" t="inlineStr">
        <is>
          <t>G2</t>
        </is>
      </c>
      <c r="B5" s="9" t="inlineStr">
        <is>
          <t>Day type and hours</t>
        </is>
      </c>
      <c r="C5" s="10" t="inlineStr">
        <is>
          <t>Whether the days and hours the LIPs forecast match the days and hours when the use case's need actually occurs.</t>
        </is>
      </c>
      <c r="D5" s="10" t="inlineStr">
        <is>
          <t>QC from the monthly system worst day and the availability assessment window (4–9 PM Jun–Oct, 5–10 PM Nov–May). A 24-hour slice-of-day profile exists, but for the system worst day only. Average-event-day ex post is optional.</t>
        </is>
      </c>
      <c r="E5" s="10" t="inlineStr">
        <is>
          <t>Aligned by design today. D.26-07-008 flags that the CEC peak hour moves outside the window (morning) by 2028; DR QC needs hourly profiles via RAMPD or DDEMI.</t>
        </is>
      </c>
      <c r="F5" s="10" t="inlineStr">
        <is>
          <t>— (D.26-07-008)</t>
        </is>
      </c>
      <c r="G5" s="10" t="inlineStr">
        <is>
          <t>The days and hours the specific element overloads: residential feeders peak later, some feeders are winter-peaking with electrification, and EV TOU timer peaks fall after 9 PM.</t>
        </is>
      </c>
      <c r="H5" s="10" t="inlineStr">
        <is>
          <t>deferral_1, deferral_5, bridge_1, bridge_6</t>
        </is>
      </c>
      <c r="I5" s="10" t="n"/>
      <c r="J5" s="11" t="inlineStr">
        <is>
          <t>Medium</t>
        </is>
      </c>
      <c r="K5" s="12" t="inlineStr">
        <is>
          <t>High</t>
        </is>
      </c>
      <c r="L5" s="10" t="inlineStr">
        <is>
          <t>Impact concentrated on summer afternoons, tracking the system peak. Little capacity on late-evening or winter-peaking feeders unless paired with heat pumps.</t>
        </is>
      </c>
      <c r="M5" s="10" t="inlineStr">
        <is>
          <t>Capable in any hour, but ex ante reports only the dispatch window. Availability after an evening event depends on remaining state of charge.</t>
        </is>
      </c>
      <c r="N5" s="10" t="inlineStr">
        <is>
          <t>Value sits in late-evening and overnight shifting; the 4–9 PM window misses the hours that drive secondary transformer overloads.</t>
        </is>
      </c>
      <c r="O5" s="10" t="inlineStr">
        <is>
          <t>Availability follows plug-in times, mostly evenings and overnight at home.</t>
        </is>
      </c>
      <c r="P5" s="10" t="inlineStr">
        <is>
          <t>Ex ante on a 'local worst day' for designated constrained circuits. Dispatch tests outside the assessment window. 24-hour impact evaluation for non-event managed charging.</t>
        </is>
      </c>
      <c r="Q5" s="10" t="inlineStr">
        <is>
          <t>In-window impact models do not predict off-window capability. Predicted: per-EV curtailable kW at 9 PM–1 AM exceeds per-EV kW at 4–9 PM by more than 2×; per-thermostat impact at 8–10 PM is under 50% of impact at 4–6 PM on the same days.</t>
        </is>
      </c>
      <c r="R5" s="10" t="inlineStr">
        <is>
          <t>Randomized off-window dispatch tests by asset class; compare observed off-window kW with the in-window model applied to those hours. Metric: off-window / in-window kW ratio and prediction error.</t>
        </is>
      </c>
    </row>
    <row r="6" ht="65" customHeight="1">
      <c r="A6" s="9" t="inlineStr">
        <is>
          <t>G3</t>
        </is>
      </c>
      <c r="B6" s="9" t="inlineStr">
        <is>
          <t>Weather tail</t>
        </is>
      </c>
      <c r="C6" s="10" t="inlineStr">
        <is>
          <t>Whether the ex ante weather scenarios cover the weather under which the need is planned for and occurs.</t>
        </is>
      </c>
      <c r="D6" s="10" t="inlineStr">
        <is>
          <t>Only 1-in-2 weather (CAISO and utility) is required for QC; 1-in-10 is no longer required. Ex ante extrapolates a fitted impact-weather line, and its error grows with distance from observed event weather.</t>
        </is>
      </c>
      <c r="E6" s="10" t="inlineStr">
        <is>
          <t>1-in-2 matches the RA requirement basis (CEC 1-in-2 forecast plus planning reserve margin).</t>
        </is>
      </c>
      <c r="F6" s="10" t="inlineStr">
        <is>
          <t>—</t>
        </is>
      </c>
      <c r="G6" s="10" t="inlineStr">
        <is>
          <t>Distribution planning designs for adverse weather; overloads and unserved energy concentrate on tail days.</t>
        </is>
      </c>
      <c r="H6" s="10" t="inlineStr">
        <is>
          <t>deferral_5, bridge_1, bridge_2</t>
        </is>
      </c>
      <c r="I6" s="10" t="inlineStr">
        <is>
          <t>Local capacity requirements are set for 1-in-10 weather with N-1-1 contingencies (D.26-07-008), so LCR use needs the tail scenario too.</t>
        </is>
      </c>
      <c r="J6" s="13" t="inlineStr">
        <is>
          <t>Low</t>
        </is>
      </c>
      <c r="K6" s="12" t="inlineStr">
        <is>
          <t>High</t>
        </is>
      </c>
      <c r="L6" s="10" t="inlineStr">
        <is>
          <t>Impact rises with temperature but saturates when AC runs at full duty cycle; linear extrapolation overstates the tail. Opt-outs tend to rise with heat.</t>
        </is>
      </c>
      <c r="M6" s="10" t="inlineStr">
        <is>
          <t>Power is weather-insensitive, but measured headroom under export zeroing grows with site load on hot days. Heat can derate inverters.</t>
        </is>
      </c>
      <c r="N6" s="10" t="inlineStr">
        <is>
          <t>Weakly weather-dependent, but its load is coincident with heat-driven feeder peaks.</t>
        </is>
      </c>
      <c r="O6" s="10" t="inlineStr">
        <is>
          <t>As V1G, plus battery thermal limits on extreme days.</t>
        </is>
      </c>
      <c r="P6" s="10" t="inlineStr">
        <is>
          <t>Report the planning weather design (1-in-10 or utility design day) as an ex ante scenario for distribution use. Nonlinear or saturating impact models. Interval-coverage validation on the hottest event days.</t>
        </is>
      </c>
      <c r="Q6" s="10" t="inlineStr">
        <is>
          <t>Linear weather-impact models overstate thermostat impact on tail days. Predicted: on held-out event days above the 95th percentile of event-day temperature, observed impact falls below the linear prediction, and the nominal 90% interval covers under 80% of outcomes.</t>
        </is>
      </c>
      <c r="R6" s="10" t="inlineStr">
        <is>
          <t>Fit linear and saturating models excluding the hottest event days; predict those days. Metric: bias and empirical interval coverage on the holdout.</t>
        </is>
      </c>
    </row>
    <row r="7" ht="65" customHeight="1">
      <c r="A7" s="9" t="inlineStr">
        <is>
          <t>G4</t>
        </is>
      </c>
      <c r="B7" s="9" t="inlineStr">
        <is>
          <t>Uncertainty representation</t>
        </is>
      </c>
      <c r="C7" s="10" t="inlineStr">
        <is>
          <t>Whether the reported spread of impacts captures every source of variation the use case must plan for: estimation error, device availability, enrollment, and correlation across customers and resources.</t>
        </is>
      </c>
      <c r="D7" s="10" t="inlineStr">
        <is>
          <t>5/50/95 percentiles from estimation error only, assuming normality. Enrollment uncertainty excluded; correlation across customers and resources not reported; variance-covariance matrix now optional.</t>
        </is>
      </c>
      <c r="E7" s="10" t="inlineStr">
        <is>
          <t>QC uses the 50th percentile. CAISO's critique that LIPs ignore use limitations (D.21-06-029) and the UCAP transition both point toward reliability-based accreditation.</t>
        </is>
      </c>
      <c r="F7" s="10" t="inlineStr">
        <is>
          <t>1</t>
        </is>
      </c>
      <c r="G7" s="10" t="inlineStr">
        <is>
          <t>Bridge-to-wires needs high-confidence (P5–P10) firm capacity at one site and its joint distribution with overload. Option value needs enrollment and adoption uncertainty. Stacking needs cross-resource correlation.</t>
        </is>
      </c>
      <c r="H7" s="10" t="inlineStr">
        <is>
          <t>deferral_3, bridge_1, bridge_2, bridge_4</t>
        </is>
      </c>
      <c r="I7" s="10" t="n"/>
      <c r="J7" s="11" t="inlineStr">
        <is>
          <t>Medium</t>
        </is>
      </c>
      <c r="K7" s="12" t="inlineStr">
        <is>
          <t>High</t>
        </is>
      </c>
      <c r="L7" s="10" t="inlineStr">
        <is>
          <t>Correlated failure modes: communications outages, platform-wide opt-outs on the hottest days.</t>
        </is>
      </c>
      <c r="M7" s="10" t="inlineStr">
        <is>
          <t>Reserve settings for backup power (and PSPS-driven holding), state of charge, and fleet-wide OEM outages are correlated, not independent.</t>
        </is>
      </c>
      <c r="N7" s="10" t="inlineStr">
        <is>
          <t>Daily plug-in is stochastic; with few EVs per transformer the capacity distribution is wide.</t>
        </is>
      </c>
      <c r="O7" s="10" t="inlineStr">
        <is>
          <t>Plug-in probability plus departure-time constraints; almost no field data.</t>
        </is>
      </c>
      <c r="P7" s="10" t="inlineStr">
        <is>
          <t>Report customer-level ex post and the variance-covariance matrix for planning use. Estimate cross-class correlation from co-dispatch events. Monte Carlo ex ante that includes availability and enrollment uncertainty.</t>
        </is>
      </c>
      <c r="Q7" s="10" t="inlineStr">
        <is>
          <t>Percentiles from estimation error alone understate the spread of delivered capacity at one asset. Predicted: the reported 5th–95th band covers under 70% of realized feeder-level event outcomes (nominal 90%), and thermostat and battery shortfalls on the same feeder-event are positively correlated.</t>
        </is>
      </c>
      <c r="R7" s="10" t="inlineStr">
        <is>
          <t>Repeated dispatch on the same feeders over a season; compare realized distribution with reported percentiles; estimate cross-class correlation. Metric: empirical coverage; correlation coefficient.</t>
        </is>
      </c>
    </row>
    <row r="8" ht="65" customHeight="1">
      <c r="A8" s="9" t="inlineStr">
        <is>
          <t>G5</t>
        </is>
      </c>
      <c r="B8" s="9" t="inlineStr">
        <is>
          <t>Dispatch intensity and use limits</t>
        </is>
      </c>
      <c r="C8" s="10" t="inlineStr">
        <is>
          <t>Whether forecasts hold under the frequency, duration and sequence of calls the use case requires, rather than the program's historical dispatch pattern.</t>
        </is>
      </c>
      <c r="D8" s="10" t="inlineStr">
        <is>
          <t>Ex ante reflects the program's existing dispatch profile (typical event under current rules). No modeling of consecutive days, longer events or higher call counts.</t>
        </is>
      </c>
      <c r="E8" s="10" t="inlineStr">
        <is>
          <t>Slice-of-day needs 4 consecutive hours; the DR bucket sets minimum availability. Use limitations are the core of the ELCC critique.</t>
        </is>
      </c>
      <c r="F8" s="10" t="inlineStr">
        <is>
          <t>1</t>
        </is>
      </c>
      <c r="G8" s="10" t="inlineStr">
        <is>
          <t>Bridge-to-wires may need daily calls across a season, events longer than 4 hours, and consecutive days. Deferral needs availability in every need-hour, every year.</t>
        </is>
      </c>
      <c r="H8" s="10" t="inlineStr">
        <is>
          <t>deferral_1, bridge_1, bridge_3, bridge_4</t>
        </is>
      </c>
      <c r="I8" s="10" t="n"/>
      <c r="J8" s="11" t="inlineStr">
        <is>
          <t>Medium</t>
        </is>
      </c>
      <c r="K8" s="12" t="inlineStr">
        <is>
          <t>High</t>
        </is>
      </c>
      <c r="L8" s="10" t="inlineStr">
        <is>
          <t>Event fatigue and rising opt-outs on consecutive days; comfort limits on long events and on pre-cooling.</t>
        </is>
      </c>
      <c r="M8" s="10" t="inlineStr">
        <is>
          <t>Energy-limited: duration = kWh / kW. Multi-day recovery depends on solar recharge; state of charge drains across consecutive events.</t>
        </is>
      </c>
      <c r="N8" s="10" t="inlineStr">
        <is>
          <t>Little fatigue if departure charge is met, but repeated curtailment conflicts with departure state-of-charge targets.</t>
        </is>
      </c>
      <c r="O8" s="10" t="inlineStr">
        <is>
          <t>Energy limits plus driver needs; customer concern about battery degradation from cycling.</t>
        </is>
      </c>
      <c r="P8" s="10" t="inlineStr">
        <is>
          <t>Multi-day and extended-duration test events on representative cohorts. Ex ante as a function of event sequence (first vs fifth consecutive day).</t>
        </is>
      </c>
      <c r="Q8" s="10" t="inlineStr">
        <is>
          <t>Per-device impact declines across consecutive event days. Predicted: thermostat impact on day 3 of a sequence is at most 80% of day 1; battery impact on day 2 falls in proportion to the state of charge left after day 1 without full solar recharge.</t>
        </is>
      </c>
      <c r="R8" s="10" t="inlineStr">
        <is>
          <t>Randomized assignment to single events vs 3–5 day sequences. Metric: impact ratio by sequence position; battery SOC at event start.</t>
        </is>
      </c>
    </row>
    <row r="9" ht="65" customHeight="1">
      <c r="A9" s="9" t="inlineStr">
        <is>
          <t>G6</t>
        </is>
      </c>
      <c r="B9" s="9" t="inlineStr">
        <is>
          <t>Measurement boundary and exports</t>
        </is>
      </c>
      <c r="C9" s="10" t="inlineStr">
        <is>
          <t>Where impact is measured (premise meter or device) and whether energy injected past the customer meter is counted.</t>
        </is>
      </c>
      <c r="D9" s="10" t="inlineStr">
        <is>
          <t>Impacts measured at the premise meter. No rule on exports. Filing Guide requires causality tied to dispatch via premise reference loads. Historical PDR data zeroed customer exports.</t>
        </is>
      </c>
      <c r="E9" s="10" t="inlineStr">
        <is>
          <t>DDEMI Track 1 removes customer-level zeroing but caps at resource level. LIPs have no rule on whether ex post and ex ante include exports up to the aggregation's baseline load.</t>
        </is>
      </c>
      <c r="F9" s="10" t="inlineStr">
        <is>
          <t>1, 2, 4, 5, 7</t>
        </is>
      </c>
      <c r="G9" s="10" t="inlineStr">
        <is>
          <t>An export helps only if exporter and offset load are downstream of the same constrained element. Exports can cause reverse flow and voltage problems on secondaries, so distribution value can be negative. Rule 21 export limits bind.</t>
        </is>
      </c>
      <c r="H9" s="10" t="inlineStr">
        <is>
          <t>deferral_1, deferral_4, bridge_6</t>
        </is>
      </c>
      <c r="I9" s="10" t="n"/>
      <c r="J9" s="12" t="inlineStr">
        <is>
          <t>High</t>
        </is>
      </c>
      <c r="K9" s="12" t="inlineStr">
        <is>
          <t>High</t>
        </is>
      </c>
      <c r="L9" s="10" t="inlineStr">
        <is>
          <t>No export. Under DDEMI, thermostat load in the aggregation becomes headroom that absorbs battery exports.</t>
        </is>
      </c>
      <c r="M9" s="10" t="inlineStr">
        <is>
          <t>The core case: capability exceeds site load. Ex post built on zeroed data biases ex ante low. Routine TOU cycling sits in the baseline, so only incremental discharge counts.</t>
        </is>
      </c>
      <c r="N9" s="10" t="inlineStr">
        <is>
          <t>No export; curtailment is bounded by charging load.</t>
        </is>
      </c>
      <c r="O9" s="10" t="inlineStr">
        <is>
          <t>Export up to the bidirectional charger rating; Rule 21 authorization for V2G is still emerging; location varies.</t>
        </is>
      </c>
      <c r="P9" s="10" t="inlineStr">
        <is>
          <t>Parallel ex post with and without export zeroing. Device-level metering pilot (a DDEMI future priority). Feeder-level study of exports against voltage and hosting capacity.</t>
        </is>
      </c>
      <c r="Q9" s="10" t="inlineStr">
        <is>
          <t>Ex post built on zeroed exports understates battery capability. Predicted: impacts measured with customer-level exports (aggregation cap applied) exceed zeroed measurement by at least 30% on low-load days, with the gap shrinking as site load rises.</t>
        </is>
      </c>
      <c r="R9" s="10" t="inlineStr">
        <is>
          <t>Re-run ex post on the same battery events both ways. Metric: percentage difference by site-load decile; share of events where the aggregation cap binds.</t>
        </is>
      </c>
    </row>
    <row r="10" ht="65" customHeight="1">
      <c r="A10" s="9" t="inlineStr">
        <is>
          <t>G7</t>
        </is>
      </c>
      <c r="B10" s="9" t="inlineStr">
        <is>
          <t>Event vs load-modifying accounting</t>
        </is>
      </c>
      <c r="C10" s="10" t="inlineStr">
        <is>
          <t>Whether a load reduction is counted as a supply resource, as a lower load forecast, or both.</t>
        </is>
      </c>
      <c r="D10" s="10" t="inlineStr">
        <is>
          <t>Separate tracks for event and non-event resources. Non-event impacts live in the baseline and the load forecast. P24 handles overlap by judgment.</t>
        </is>
      </c>
      <c r="E10" s="10" t="inlineStr">
        <is>
          <t>Double counting between load forecast and QC (the CPUC's issues 2 and 6).</t>
        </is>
      </c>
      <c r="F10" s="10" t="inlineStr">
        <is>
          <t>2, 6</t>
        </is>
      </c>
      <c r="G10" s="10" t="inlineStr">
        <is>
          <t>Distribution forecasts net load including DER adoption. Managed-charging shift must not be counted both in the circuit forecast (GNA) and as DR capacity; the deficiency itself depends on which way it is counted.</t>
        </is>
      </c>
      <c r="H10" s="10" t="inlineStr">
        <is>
          <t>deferral_1, bridge_1</t>
        </is>
      </c>
      <c r="I10" s="10" t="n"/>
      <c r="J10" s="11" t="inlineStr">
        <is>
          <t>Medium</t>
        </is>
      </c>
      <c r="K10" s="12" t="inlineStr">
        <is>
          <t>High</t>
        </is>
      </c>
      <c r="L10" s="10" t="inlineStr">
        <is>
          <t>TOU optimization (non-event) and event impacts can both be claimed.</t>
        </is>
      </c>
      <c r="M10" s="10" t="inlineStr">
        <is>
          <t>Daily TOU arbitrage (non-event) vs event dispatch; DDEMI assumes TOU discharge is embedded in the baseline.</t>
        </is>
      </c>
      <c r="N10" s="10" t="inlineStr">
        <is>
          <t>Mostly non-event (schedules, TOU, always-on management); impact lives in the load shape, so its value depends on the adoption forecast's managed-vs-unmanaged assumption.</t>
        </is>
      </c>
      <c r="O10" s="10" t="inlineStr">
        <is>
          <t>Both, for the same vehicle.</t>
        </is>
      </c>
      <c r="P10" s="10" t="inlineStr">
        <is>
          <t>One accounting of DER load-modifying effects across IEPR, GNA and LIP. Transformer-level evaluation of always-on managed charging against an unmanaged control group.</t>
        </is>
      </c>
      <c r="Q10" s="10" t="inlineStr">
        <is>
          <t>When managed charging already sits in the baseline, event dispatch adds little. Predicted: incremental event impact for always-managed EVs is under 25% of event impact for EVs with an unmanaged baseline, so counting both management and events double counts.</t>
        </is>
      </c>
      <c r="R10" s="10" t="inlineStr">
        <is>
          <t>Randomized event dispatch within always-managed and unmanaged cohorts; transformer-level metering where available. Metric: incremental kW per EV in event hours by cohort.</t>
        </is>
      </c>
    </row>
    <row r="11" ht="65" customHeight="1">
      <c r="A11" s="9" t="inlineStr">
        <is>
          <t>G8</t>
        </is>
      </c>
      <c r="B11" s="9" t="inlineStr">
        <is>
          <t>Snapback and full load shape</t>
        </is>
      </c>
      <c r="C11" s="10" t="inlineStr">
        <is>
          <t>Whether load changes before and after the event window (pre-conditioning, rebound) are forecast and used.</t>
        </is>
      </c>
      <c r="D11" s="10" t="inlineStr">
        <is>
          <t>Snapback is included in the ex ante 24-hour profile but excluded from RA counting. Pre-event behavior (pre-cooling) falls in the baseline adjustment period.</t>
        </is>
      </c>
      <c r="E11" s="10" t="inlineStr">
        <is>
          <t>Excluded from RA deliberately.</t>
        </is>
      </c>
      <c r="F11" s="10" t="inlineStr">
        <is>
          <t>—</t>
        </is>
      </c>
      <c r="G11" s="10" t="inlineStr">
        <is>
          <t>Rebound can create a new local peak after the window. Transformer loss of life depends on the full thermal profile, not the peak hour.</t>
        </is>
      </c>
      <c r="H11" s="10" t="inlineStr">
        <is>
          <t>deferral_4, bridge_6</t>
        </is>
      </c>
      <c r="I11" s="10" t="n"/>
      <c r="J11" s="13" t="inlineStr">
        <is>
          <t>Low</t>
        </is>
      </c>
      <c r="K11" s="11" t="inlineStr">
        <is>
          <t>Medium</t>
        </is>
      </c>
      <c r="L11" s="10" t="inlineStr">
        <is>
          <t>Pre-cooling and post-event recovery are material.</t>
        </is>
      </c>
      <c r="M11" s="10" t="inlineStr">
        <is>
          <t>Recharge after the event; can be scheduled away from local peaks.</t>
        </is>
      </c>
      <c r="N11" s="10" t="inlineStr">
        <is>
          <t>Synchronized catch-up charging after curtailment can sharpen the transformer peak.</t>
        </is>
      </c>
      <c r="O11" s="10" t="inlineStr">
        <is>
          <t>Recharge after discharge roughly doubles energy throughput in the period.</t>
        </is>
      </c>
      <c r="P11" s="10" t="inlineStr">
        <is>
          <t>Feeder-level 24-hour profiles for distribution use. Randomized staggering of event end and recovery to test rebound mitigation. Couple impact profiles to an IEEE C57.91 aging model.</t>
        </is>
      </c>
      <c r="Q11" s="10" t="inlineStr">
        <is>
          <t>Synchronized recovery creates a secondary local peak. Predicted: feeder load in the 1–2 hours after event end exceeds baseline by at least 15% for thermostats and EV managed charging, and randomized staggered end times cut that rebound peak by at least half.</t>
        </is>
      </c>
      <c r="R11" s="10" t="inlineStr">
        <is>
          <t>Randomize event end times (synchronized vs staggered) across feeders. Metric: post-event peak / baseline ratio at feeder and transformer.</t>
        </is>
      </c>
    </row>
    <row r="12" ht="39" customHeight="1">
      <c r="A12" s="9" t="inlineStr">
        <is>
          <t>G9</t>
        </is>
      </c>
      <c r="B12" s="9" t="inlineStr">
        <is>
          <t>Portfolio and stacking</t>
        </is>
      </c>
      <c r="C12" s="10" t="inlineStr">
        <is>
          <t>Whether the combined capacity of several resources at one customer or location is estimated jointly rather than summed.</t>
        </is>
      </c>
      <c r="D12" s="10" t="inlineStr">
        <is>
          <t>P24: identify overlaps and synergies, judge materiality; filings report portfolio-adjusted totals at program level.</t>
        </is>
      </c>
      <c r="E12" s="10" t="inlineStr">
        <is>
          <t>Modest: portfolio-adjusted totals feed QC.</t>
        </is>
      </c>
      <c r="F12" s="10" t="inlineStr">
        <is>
          <t>—</t>
        </is>
      </c>
      <c r="G12" s="10" t="inlineStr">
        <is>
          <t>Stacking several resources at one asset needs their joint distribution and rules for conflicts between system and local dispatch of the same resource.</t>
        </is>
      </c>
      <c r="H12" s="10" t="inlineStr">
        <is>
          <t>deferral_1, bridge_1</t>
        </is>
      </c>
      <c r="I12" s="10" t="n"/>
      <c r="J12" s="13" t="inlineStr">
        <is>
          <t>Low</t>
        </is>
      </c>
      <c r="K12" s="11" t="inlineStr">
        <is>
          <t>Medium</t>
        </is>
      </c>
      <c r="L12" s="10" t="inlineStr">
        <is>
          <t>In homes with a battery, the battery can serve the AC reduction, so the two programs overlap.</t>
        </is>
      </c>
      <c r="M12" s="10" t="inlineStr">
        <is>
          <t>Dual participation in system DR and local relief draws on the same state of charge.</t>
        </is>
      </c>
      <c r="N12" s="10" t="inlineStr">
        <is>
          <t>Shares the vehicle with V2G where bidirectional.</t>
        </is>
      </c>
      <c r="O12" s="10" t="inlineStr">
        <is>
          <t>Same vehicle as V1G; value cannot be summed.</t>
        </is>
      </c>
      <c r="P12" s="10" t="inlineStr">
        <is>
          <t>Co-dispatch experiments in mixed-resource homes and feeders. Dispatch priority rules between system and local calls.</t>
        </is>
      </c>
      <c r="Q12" s="10" t="inlineStr">
        <is>
          <t>Thermostat and battery impacts in the same home are not additive. Predicted: combined impact under co-dispatch is at most 85% of the sum of single-resource impacts.</t>
        </is>
      </c>
      <c r="R12" s="10" t="inlineStr">
        <is>
          <t>2×2 factorial dispatch in homes with both (thermostat only, battery only, both, neither). Metric: interaction term and its confidence interval.</t>
        </is>
      </c>
    </row>
    <row r="13" ht="52" customHeight="1">
      <c r="A13" s="9" t="inlineStr">
        <is>
          <t>G10</t>
        </is>
      </c>
      <c r="B13" s="9" t="inlineStr">
        <is>
          <t>New resources without ex post history</t>
        </is>
      </c>
      <c r="C13" s="10" t="inlineStr">
        <is>
          <t>How the LIPs forecast a resource with no ex post evaluation record of its own.</t>
        </is>
      </c>
      <c r="D13" s="10" t="inlineStr">
        <is>
          <t>P17 allows borrowing from comparable programs or jurisdictions, with justification.</t>
        </is>
      </c>
      <c r="E13" s="10" t="inlineStr">
        <is>
          <t>QC for new programs rests on borrowed or engineering assumptions.</t>
        </is>
      </c>
      <c r="F13" s="10" t="inlineStr">
        <is>
          <t>1</t>
        </is>
      </c>
      <c r="G13" s="10" t="inlineStr">
        <is>
          <t>Deferral needs multi-year forward capacity at a location for resources not yet enrolled.</t>
        </is>
      </c>
      <c r="H13" s="10" t="inlineStr">
        <is>
          <t>deferral_1, deferral_3</t>
        </is>
      </c>
      <c r="I13" s="10" t="n"/>
      <c r="J13" s="11" t="inlineStr">
        <is>
          <t>Medium</t>
        </is>
      </c>
      <c r="K13" s="11" t="inlineStr">
        <is>
          <t>Medium</t>
        </is>
      </c>
      <c r="L13" s="10" t="inlineStr">
        <is>
          <t>Mature: deep ex post record.</t>
        </is>
      </c>
      <c r="M13" s="10" t="inlineStr">
        <is>
          <t>Growing record; little event evidence on exports.</t>
        </is>
      </c>
      <c r="N13" s="10" t="inlineStr">
        <is>
          <t>Pilot-grade evidence; little LIP-grade evaluation.</t>
        </is>
      </c>
      <c r="O13" s="10" t="inlineStr">
        <is>
          <t>Essentially none.</t>
        </is>
      </c>
      <c r="P13" s="10" t="inlineStr">
        <is>
          <t>Design V2G and managed-charging pilots with randomized control and LIP-compatible reporting from launch.</t>
        </is>
      </c>
      <c r="Q13" s="10" t="inlineStr">
        <is>
          <t>Borrowed ex ante for new resources misses more than ex ante for mature programs. Predicted: first-year error of ex ante against ex post for V2G and managed-charging pilots exceeds twice the median error for mature programs.</t>
        </is>
      </c>
      <c r="R13" s="10" t="inlineStr">
        <is>
          <t>Compare filed ex ante with subsequent ex post across programs. Metric: absolute percentage error by program maturity.</t>
        </is>
      </c>
    </row>
    <row r="14" ht="52" customHeight="1">
      <c r="A14" s="9" t="inlineStr">
        <is>
          <t>G11</t>
        </is>
      </c>
      <c r="B14" s="9" t="inlineStr">
        <is>
          <t>Horizon, cadence and enrollment location</t>
        </is>
      </c>
      <c r="C14" s="10" t="inlineStr">
        <is>
          <t>Whether forecast timing and the geography of enrollment match the planning cycle and the location of the need.</t>
        </is>
      </c>
      <c r="D14" s="10" t="inlineStr">
        <is>
          <t>Annual filings with a multi-year ex ante. Enrollment forecast by program and segment, not location. Mid-year QC updates.</t>
        </is>
      </c>
      <c r="E14" s="10" t="inlineStr">
        <is>
          <t>Aligned with the annual RA cycle.</t>
        </is>
      </c>
      <c r="F14" s="10" t="inlineStr">
        <is>
          <t>—</t>
        </is>
      </c>
      <c r="G14" s="10" t="inlineStr">
        <is>
          <t>Deferral needs capacity at a specific location on a need date years out, tied to the GNA/DDOR cycle. Enrollment on that feeder is the binding uncertainty.</t>
        </is>
      </c>
      <c r="H14" s="10" t="inlineStr">
        <is>
          <t>deferral_1, deferral_3, bridge_3</t>
        </is>
      </c>
      <c r="I14" s="10" t="n"/>
      <c r="J14" s="13" t="inlineStr">
        <is>
          <t>Low</t>
        </is>
      </c>
      <c r="K14" s="12" t="inlineStr">
        <is>
          <t>High</t>
        </is>
      </c>
      <c r="L14" s="10" t="inlineStr">
        <is>
          <t>Bring-your-own-thermostat enrollment lands wherever customers are, not where needs are.</t>
        </is>
      </c>
      <c r="M14" s="10" t="inlineStr">
        <is>
          <t>Adoption follows solar adoption and income.</t>
        </is>
      </c>
      <c r="N14" s="10" t="inlineStr">
        <is>
          <t>Adoption follows income, housing type and home charging access.</t>
        </is>
      </c>
      <c r="O14" s="10" t="inlineStr">
        <is>
          <t>Nascent; adoption path highly uncertain.</t>
        </is>
      </c>
      <c r="P14" s="10" t="inlineStr">
        <is>
          <t>Locational adoption-propensity models feeding enrollment by circuit. Targeted enrollment campaigns on constrained circuits as an experiment.</t>
        </is>
      </c>
      <c r="Q14" s="10" t="inlineStr">
        <is>
          <t>Allocating program enrollment to circuits pro rata misplaces capacity. Predicted: pro-rata allocation misses actual circuit enrollment by more than ±50% on most constrained circuits, and a propensity model halves that error.</t>
        </is>
      </c>
      <c r="R14" s="10" t="inlineStr">
        <is>
          <t>Backcast past enrollment by circuit with both methods. Metric: circuit-level enrollment error, weighted to constrained circuits.</t>
        </is>
      </c>
    </row>
    <row r="15" ht="52" customHeight="1">
      <c r="A15" s="9" t="inlineStr">
        <is>
          <t>G12</t>
        </is>
      </c>
      <c r="B15" s="9" t="inlineStr">
        <is>
          <t>Planning vs operational forecast</t>
        </is>
      </c>
      <c r="C15" s="10" t="inlineStr">
        <is>
          <t>Whether the LIPs produce the near-term (day-ahead) capacity estimate needed to dispatch against a specific need.</t>
        </is>
      </c>
      <c r="D15" s="10" t="inlineStr">
        <is>
          <t>Planning forecasts only. P2 lists ex ante for CAISO operational dispatch as optional extra analysis; settlement baselines are outside the LIPs.</t>
        </is>
      </c>
      <c r="E15" s="10" t="inlineStr">
        <is>
          <t>DRPs bid day-ahead on their own estimates; DDEMI changes settlement measurement, not forecasting.</t>
        </is>
      </c>
      <c r="F15" s="10" t="inlineStr">
        <is>
          <t>3</t>
        </is>
      </c>
      <c r="G15" s="10" t="inlineStr">
        <is>
          <t>Bridge-to-wires and shadow-price approaches need day-ahead capacity at the node; market-price approaches need per-resource M&amp;V at the constraint.</t>
        </is>
      </c>
      <c r="H15" s="10" t="inlineStr">
        <is>
          <t>bridge_1, bridge_2, bridge_4</t>
        </is>
      </c>
      <c r="I15" s="10" t="n"/>
      <c r="J15" s="11" t="inlineStr">
        <is>
          <t>Medium</t>
        </is>
      </c>
      <c r="K15" s="12" t="inlineStr">
        <is>
          <t>High</t>
        </is>
      </c>
      <c r="L15" s="10" t="inlineStr">
        <is>
          <t>Day-ahead capacity depends on forecast temperature and opt-out rates.</t>
        </is>
      </c>
      <c r="M15" s="10" t="inlineStr">
        <is>
          <t>Day-ahead capacity depends on planned state of charge and reserve settings.</t>
        </is>
      </c>
      <c r="N15" s="10" t="inlineStr">
        <is>
          <t>Depends on forecast plug-ins and departure needs.</t>
        </is>
      </c>
      <c r="O15" s="10" t="inlineStr">
        <is>
          <t>As V1G, plus export limits.</t>
        </is>
      </c>
      <c r="P15" s="10" t="inlineStr">
        <is>
          <t>Day-ahead operational model built from LIP coefficients, validated against event outcomes and used for local dispatch.</t>
        </is>
      </c>
      <c r="Q15" s="10" t="inlineStr">
        <is>
          <t>A day-ahead forecast built from LIP coefficients and forecast weather can support local dispatch. Predicted: feeder-level day-ahead error within 20% for thermostats and larger for EV managed charging, driven by plug-in variance.</t>
        </is>
      </c>
      <c r="R15" s="10" t="inlineStr">
        <is>
          <t>Issue day-ahead forecasts before each event; compare with ex post. Metric: MAPE by asset class and feeder.</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6"/>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14" customWidth="1" min="1" max="1"/>
    <col width="30" customWidth="1" min="2" max="2"/>
    <col width="44" customWidth="1" min="3" max="3"/>
    <col width="14" customWidth="1" min="4" max="4"/>
    <col width="22" customWidth="1" min="5" max="5"/>
    <col width="30" customWidth="1" min="6" max="6"/>
    <col width="50" customWidth="1" min="7" max="7"/>
  </cols>
  <sheetData>
    <row r="1" ht="17" customHeight="1">
      <c r="A1" s="2" t="inlineStr">
        <is>
          <t>Distribution value streams: what each needs from a forecast</t>
        </is>
      </c>
    </row>
    <row r="2">
      <c r="A2" s="3" t="inlineStr">
        <is>
          <t>IDs match the Dx - Value Streams sheet.</t>
        </is>
      </c>
    </row>
    <row r="3" ht="30" customHeight="1">
      <c r="A3" s="8" t="inlineStr">
        <is>
          <t>Value stream ID</t>
        </is>
      </c>
      <c r="B3" s="8" t="inlineStr">
        <is>
          <t>Value stream</t>
        </is>
      </c>
      <c r="C3" s="8" t="inlineStr">
        <is>
          <t>Forecast attribute the stream needs</t>
        </is>
      </c>
      <c r="D3" s="8" t="inlineStr">
        <is>
          <t>Can the LIPs supply it?</t>
        </is>
      </c>
      <c r="E3" s="8" t="inlineStr">
        <is>
          <t>Binding gaps</t>
        </is>
      </c>
      <c r="F3" s="8" t="inlineStr">
        <is>
          <t>Most affected assets</t>
        </is>
      </c>
      <c r="G3" s="8" t="inlineStr">
        <is>
          <t>Note</t>
        </is>
      </c>
    </row>
    <row r="4" ht="26" customHeight="1">
      <c r="A4" s="9" t="inlineStr">
        <is>
          <t>deferral_1</t>
        </is>
      </c>
      <c r="B4" s="9" t="inlineStr">
        <is>
          <t>Deferred capital carrying cost</t>
        </is>
      </c>
      <c r="C4" s="10" t="inlineStr">
        <is>
          <t>Firm MW at the element's need-hours, each year to the deferral horizon, with a confidence level</t>
        </is>
      </c>
      <c r="D4" s="11" t="inlineStr">
        <is>
          <t>Partial</t>
        </is>
      </c>
      <c r="E4" s="10" t="inlineStr">
        <is>
          <t>G1, G2, G3, G4, G5, G7, G11</t>
        </is>
      </c>
      <c r="F4" s="10" t="inlineStr">
        <is>
          <t>EV managed charging (transformers); thermostats (summer feeders)</t>
        </is>
      </c>
      <c r="G4" s="10" t="inlineStr">
        <is>
          <t>Program-level, system-worst-day MW is the wrong unit and the wrong day.</t>
        </is>
      </c>
    </row>
    <row r="5">
      <c r="A5" s="9" t="inlineStr">
        <is>
          <t>deferral_2</t>
        </is>
      </c>
      <c r="B5" s="9" t="inlineStr">
        <is>
          <t>Avoided O&amp;M on deferred asset</t>
        </is>
      </c>
      <c r="C5" s="10" t="inlineStr">
        <is>
          <t>Inherits deferral_1</t>
        </is>
      </c>
      <c r="D5" s="14" t="inlineStr">
        <is>
          <t>n/a</t>
        </is>
      </c>
      <c r="E5" s="10" t="inlineStr">
        <is>
          <t>—</t>
        </is>
      </c>
      <c r="F5" s="10" t="inlineStr">
        <is>
          <t>—</t>
        </is>
      </c>
      <c r="G5" s="10" t="inlineStr">
        <is>
          <t>Not forecast-dependent beyond deferral_1.</t>
        </is>
      </c>
    </row>
    <row r="6" ht="26" customHeight="1">
      <c r="A6" s="9" t="inlineStr">
        <is>
          <t>deferral_3</t>
        </is>
      </c>
      <c r="B6" s="9" t="inlineStr">
        <is>
          <t>Option value under uncertainty</t>
        </is>
      </c>
      <c r="C6" s="10" t="inlineStr">
        <is>
          <t>Distribution of enrollment and impact over years at the location</t>
        </is>
      </c>
      <c r="D6" s="12" t="inlineStr">
        <is>
          <t>No</t>
        </is>
      </c>
      <c r="E6" s="10" t="inlineStr">
        <is>
          <t>G4, G10, G11</t>
        </is>
      </c>
      <c r="F6" s="10" t="inlineStr">
        <is>
          <t>All; V2G most</t>
        </is>
      </c>
      <c r="G6" s="10" t="inlineStr">
        <is>
          <t>Percentiles exclude enrollment uncertainty.</t>
        </is>
      </c>
    </row>
    <row r="7" ht="39" customHeight="1">
      <c r="A7" s="9" t="inlineStr">
        <is>
          <t>deferral_4</t>
        </is>
      </c>
      <c r="B7" s="9" t="inlineStr">
        <is>
          <t>Avoided marginal line losses</t>
        </is>
      </c>
      <c r="C7" s="10" t="inlineStr">
        <is>
          <t>Hourly MWh change on the element</t>
        </is>
      </c>
      <c r="D7" s="11" t="inlineStr">
        <is>
          <t>Partial</t>
        </is>
      </c>
      <c r="E7" s="10" t="inlineStr">
        <is>
          <t>G1, G6, G8</t>
        </is>
      </c>
      <c r="F7" s="10" t="inlineStr">
        <is>
          <t>Batteries; V2G</t>
        </is>
      </c>
      <c r="G7" s="10" t="inlineStr">
        <is>
          <t>Hourly impacts exist; location and export treatment do not. DLF is already applied in QC, which is the double-count risk the distribution matrix flags.</t>
        </is>
      </c>
    </row>
    <row r="8" ht="26" customHeight="1">
      <c r="A8" s="9" t="inlineStr">
        <is>
          <t>deferral_5</t>
        </is>
      </c>
      <c r="B8" s="9" t="inlineStr">
        <is>
          <t>Avoided reliability degradation pre-upgrade</t>
        </is>
      </c>
      <c r="C8" s="10" t="inlineStr">
        <is>
          <t>Impact during overload hours on the element, in tail weather</t>
        </is>
      </c>
      <c r="D8" s="12" t="inlineStr">
        <is>
          <t>No</t>
        </is>
      </c>
      <c r="E8" s="10" t="inlineStr">
        <is>
          <t>G1, G3, G4</t>
        </is>
      </c>
      <c r="F8" s="10" t="inlineStr">
        <is>
          <t>Thermostats</t>
        </is>
      </c>
      <c r="G8" s="10" t="inlineStr">
        <is>
          <t>Tail weather dropped.</t>
        </is>
      </c>
    </row>
    <row r="9">
      <c r="A9" s="9" t="inlineStr">
        <is>
          <t>deferral_6</t>
        </is>
      </c>
      <c r="B9" s="9" t="inlineStr">
        <is>
          <t>Deferred permitting and siting</t>
        </is>
      </c>
      <c r="C9" s="10" t="inlineStr">
        <is>
          <t>Not forecast-dependent</t>
        </is>
      </c>
      <c r="D9" s="14" t="inlineStr">
        <is>
          <t>n/a</t>
        </is>
      </c>
      <c r="E9" s="10" t="inlineStr">
        <is>
          <t>—</t>
        </is>
      </c>
      <c r="F9" s="10" t="inlineStr">
        <is>
          <t>—</t>
        </is>
      </c>
      <c r="G9" s="10" t="n"/>
    </row>
    <row r="10" ht="26" customHeight="1">
      <c r="A10" s="9" t="inlineStr">
        <is>
          <t>bridge_1</t>
        </is>
      </c>
      <c r="B10" s="9" t="inlineStr">
        <is>
          <t>Avoided unserved energy in the gap</t>
        </is>
      </c>
      <c r="C10" s="10" t="inlineStr">
        <is>
          <t>Joint distribution of available capacity and overload by hour, including tail weather and repeated dispatch</t>
        </is>
      </c>
      <c r="D10" s="12" t="inlineStr">
        <is>
          <t>No</t>
        </is>
      </c>
      <c r="E10" s="10" t="inlineStr">
        <is>
          <t>G1, G2, G3, G4, G5, G12</t>
        </is>
      </c>
      <c r="F10" s="10" t="inlineStr">
        <is>
          <t>All</t>
        </is>
      </c>
      <c r="G10" s="10" t="inlineStr">
        <is>
          <t>Needs a joint simulation of need and capacity, not marginal percentiles.</t>
        </is>
      </c>
    </row>
    <row r="11">
      <c r="A11" s="9" t="inlineStr">
        <is>
          <t>bridge_2</t>
        </is>
      </c>
      <c r="B11" s="9" t="inlineStr">
        <is>
          <t>Avoided penalty exposure</t>
        </is>
      </c>
      <c r="C11" s="10" t="inlineStr">
        <is>
          <t>Probability of a violation during the gap</t>
        </is>
      </c>
      <c r="D11" s="12" t="inlineStr">
        <is>
          <t>No</t>
        </is>
      </c>
      <c r="E11" s="10" t="inlineStr">
        <is>
          <t>G3, G4, G12</t>
        </is>
      </c>
      <c r="F11" s="10" t="inlineStr">
        <is>
          <t>All</t>
        </is>
      </c>
      <c r="G11" s="10" t="inlineStr">
        <is>
          <t>Same inputs as bridge_1.</t>
        </is>
      </c>
    </row>
    <row r="12" ht="26" customHeight="1">
      <c r="A12" s="9" t="inlineStr">
        <is>
          <t>bridge_3</t>
        </is>
      </c>
      <c r="B12" s="9" t="inlineStr">
        <is>
          <t>Enabled load otherwise blocked</t>
        </is>
      </c>
      <c r="C12" s="10" t="inlineStr">
        <is>
          <t>Firm capacity at the substation or feeder across the interim period, every need-hour</t>
        </is>
      </c>
      <c r="D12" s="11" t="inlineStr">
        <is>
          <t>Partial</t>
        </is>
      </c>
      <c r="E12" s="10" t="inlineStr">
        <is>
          <t>G1, G5, G11</t>
        </is>
      </c>
      <c r="F12" s="10" t="inlineStr">
        <is>
          <t>Batteries</t>
        </is>
      </c>
      <c r="G12" s="10" t="inlineStr">
        <is>
          <t>The speed-to-power case; firmness across a season is the test.</t>
        </is>
      </c>
    </row>
    <row r="13" ht="26" customHeight="1">
      <c r="A13" s="9" t="inlineStr">
        <is>
          <t>bridge_4</t>
        </is>
      </c>
      <c r="B13" s="9" t="inlineStr">
        <is>
          <t>Avoided temporary measures</t>
        </is>
      </c>
      <c r="C13" s="10" t="inlineStr">
        <is>
          <t>Capacity equivalent to mobile generation: firm, any hour, multi-day</t>
        </is>
      </c>
      <c r="D13" s="12" t="inlineStr">
        <is>
          <t>No</t>
        </is>
      </c>
      <c r="E13" s="10" t="inlineStr">
        <is>
          <t>G4, G5, G12</t>
        </is>
      </c>
      <c r="F13" s="10" t="inlineStr">
        <is>
          <t>Batteries; V2G</t>
        </is>
      </c>
      <c r="G13" s="10" t="inlineStr">
        <is>
          <t>Compared directly against a dispatchable alternative.</t>
        </is>
      </c>
    </row>
    <row r="14" ht="26" customHeight="1">
      <c r="A14" s="9" t="inlineStr">
        <is>
          <t>bridge_5</t>
        </is>
      </c>
      <c r="B14" s="9" t="inlineStr">
        <is>
          <t>Avoided expedited-construction premium</t>
        </is>
      </c>
      <c r="C14" s="10" t="inlineStr">
        <is>
          <t>Not forecast-dependent</t>
        </is>
      </c>
      <c r="D14" s="14" t="inlineStr">
        <is>
          <t>n/a</t>
        </is>
      </c>
      <c r="E14" s="10" t="inlineStr">
        <is>
          <t>—</t>
        </is>
      </c>
      <c r="F14" s="10" t="inlineStr">
        <is>
          <t>—</t>
        </is>
      </c>
      <c r="G14" s="10" t="n"/>
    </row>
    <row r="15" ht="26" customHeight="1">
      <c r="A15" s="9" t="inlineStr">
        <is>
          <t>bridge_6</t>
        </is>
      </c>
      <c r="B15" s="9" t="inlineStr">
        <is>
          <t>Avoided asset degradation during overload</t>
        </is>
      </c>
      <c r="C15" s="10" t="inlineStr">
        <is>
          <t>Full 24-hour load profile at the transformer, including rebound</t>
        </is>
      </c>
      <c r="D15" s="11" t="inlineStr">
        <is>
          <t>Partial</t>
        </is>
      </c>
      <c r="E15" s="10" t="inlineStr">
        <is>
          <t>G1, G2, G6, G8</t>
        </is>
      </c>
      <c r="F15" s="10" t="inlineStr">
        <is>
          <t>EV managed charging; V2G</t>
        </is>
      </c>
      <c r="G15" s="10" t="inlineStr">
        <is>
          <t>24-hour profiles exist for the system worst day only.</t>
        </is>
      </c>
    </row>
    <row r="16">
      <c r="A16" s="9" t="inlineStr">
        <is>
          <t>bridge_7</t>
        </is>
      </c>
      <c r="B16" s="9" t="inlineStr">
        <is>
          <t>Customer-side cost of delay</t>
        </is>
      </c>
      <c r="C16" s="10" t="inlineStr">
        <is>
          <t>As bridge_3</t>
        </is>
      </c>
      <c r="D16" s="11" t="inlineStr">
        <is>
          <t>Partial</t>
        </is>
      </c>
      <c r="E16" s="10" t="inlineStr">
        <is>
          <t>G1, G5, G11</t>
        </is>
      </c>
      <c r="F16" s="10" t="inlineStr">
        <is>
          <t>Batteries</t>
        </is>
      </c>
      <c r="G16" s="10" t="inlineStr">
        <is>
          <t>Valued only under a societal test.</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12"/>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12" customWidth="1" min="1" max="1"/>
    <col width="34" customWidth="1" min="2" max="2"/>
    <col width="18" customWidth="1" min="3" max="3"/>
    <col width="80" customWidth="1" min="4" max="4"/>
  </cols>
  <sheetData>
    <row r="1" ht="17" customHeight="1">
      <c r="A1" s="2" t="inlineStr">
        <is>
          <t>RA/DDEMI issues: which LIP gaps they hit</t>
        </is>
      </c>
    </row>
    <row r="2">
      <c r="A2" s="3" t="inlineStr">
        <is>
          <t>Issue numbers match the RA - Export issues sheet.</t>
        </is>
      </c>
    </row>
    <row r="3">
      <c r="A3" s="8" t="inlineStr">
        <is>
          <t>RA issue #</t>
        </is>
      </c>
      <c r="B3" s="8" t="inlineStr">
        <is>
          <t>Issue</t>
        </is>
      </c>
      <c r="C3" s="8" t="inlineStr">
        <is>
          <t>Related LIP gaps</t>
        </is>
      </c>
      <c r="D3" s="8" t="inlineStr">
        <is>
          <t>What the LIPs would need to answer</t>
        </is>
      </c>
    </row>
    <row r="4" ht="26" customHeight="1">
      <c r="A4" s="9" t="inlineStr">
        <is>
          <t>1</t>
        </is>
      </c>
      <c r="B4" s="9" t="inlineStr">
        <is>
          <t>Forward capacity determination</t>
        </is>
      </c>
      <c r="C4" s="10" t="inlineStr">
        <is>
          <t>G4, G5, G6, G10</t>
        </is>
      </c>
      <c r="D4" s="10" t="inlineStr">
        <is>
          <t>A rule on whether ex post and ex ante count exports up to the aggregation's baseline load; accreditation that reflects use limits.</t>
        </is>
      </c>
    </row>
    <row r="5">
      <c r="A5" s="9" t="inlineStr">
        <is>
          <t>2</t>
        </is>
      </c>
      <c r="B5" s="9" t="inlineStr">
        <is>
          <t>RA requirements tied to the customer</t>
        </is>
      </c>
      <c r="C5" s="10" t="inlineStr">
        <is>
          <t>G6, G7</t>
        </is>
      </c>
      <c r="D5" s="10" t="inlineStr">
        <is>
          <t>One accounting of load-modifying effects so QC and the load forecast don't both claim the same reduction.</t>
        </is>
      </c>
    </row>
    <row r="6" ht="26" customHeight="1">
      <c r="A6" s="9" t="inlineStr">
        <is>
          <t>3</t>
        </is>
      </c>
      <c r="B6" s="9" t="inlineStr">
        <is>
          <t>Wholesale participation</t>
        </is>
      </c>
      <c r="C6" s="10" t="inlineStr">
        <is>
          <t>G12</t>
        </is>
      </c>
      <c r="D6" s="10" t="inlineStr">
        <is>
          <t>Link between planning ex ante and the day-ahead estimates DRPs bid; M&amp;V consistent across settlement and evaluation.</t>
        </is>
      </c>
    </row>
    <row r="7">
      <c r="A7" s="9" t="inlineStr">
        <is>
          <t>4</t>
        </is>
      </c>
      <c r="B7" s="9" t="inlineStr">
        <is>
          <t>Energy cost (retail vs wholesale settlement)</t>
        </is>
      </c>
      <c r="C7" s="10" t="inlineStr">
        <is>
          <t>G6</t>
        </is>
      </c>
      <c r="D7" s="10" t="inlineStr">
        <is>
          <t>Separation of routine TOU export (retail) from incremental dispatched response (wholesale) in the baseline.</t>
        </is>
      </c>
    </row>
    <row r="8">
      <c r="A8" s="9" t="inlineStr">
        <is>
          <t>5</t>
        </is>
      </c>
      <c r="B8" s="9" t="inlineStr">
        <is>
          <t>NEM/NBT netting</t>
        </is>
      </c>
      <c r="C8" s="10" t="inlineStr">
        <is>
          <t>G6</t>
        </is>
      </c>
      <c r="D8" s="10" t="inlineStr">
        <is>
          <t>Baselines accurate enough that wholesale pays only for incremental response, the condition CAISO DMM sets.</t>
        </is>
      </c>
    </row>
    <row r="9">
      <c r="A9" s="9" t="inlineStr">
        <is>
          <t>6</t>
        </is>
      </c>
      <c r="B9" s="9" t="inlineStr">
        <is>
          <t>Load forecasting</t>
        </is>
      </c>
      <c r="C9" s="10" t="inlineStr">
        <is>
          <t>G7</t>
        </is>
      </c>
      <c r="D9" s="10" t="inlineStr">
        <is>
          <t>Shared treatment of BTM storage and managed charging between CEC forecasts and LIP ex ante.</t>
        </is>
      </c>
    </row>
    <row r="10">
      <c r="A10" s="9" t="inlineStr">
        <is>
          <t>7</t>
        </is>
      </c>
      <c r="B10" s="9" t="inlineStr">
        <is>
          <t>Interaction with PDR</t>
        </is>
      </c>
      <c r="C10" s="10" t="inlineStr">
        <is>
          <t>G6</t>
        </is>
      </c>
      <c r="D10" s="10" t="inlineStr">
        <is>
          <t>Evaluation rule matching DDEMI's measurement change: customer-level exports in, resource-level cap applied.</t>
        </is>
      </c>
    </row>
    <row r="11">
      <c r="A11" s="9" t="inlineStr">
        <is>
          <t>8</t>
        </is>
      </c>
      <c r="B11" s="9" t="inlineStr">
        <is>
          <t>Deliverability</t>
        </is>
      </c>
      <c r="C11" s="10" t="inlineStr">
        <is>
          <t>G1</t>
        </is>
      </c>
      <c r="D11" s="10" t="inlineStr">
        <is>
          <t>Locational ex ante finer than August-only sub-LAP if DR grows past the 2005 grandfathered volumes.</t>
        </is>
      </c>
    </row>
    <row r="12">
      <c r="A12" s="9" t="inlineStr">
        <is>
          <t>D.26-07-008</t>
        </is>
      </c>
      <c r="B12" s="9" t="inlineStr">
        <is>
          <t>Hourly window misalignment</t>
        </is>
      </c>
      <c r="C12" s="10" t="inlineStr">
        <is>
          <t>G2</t>
        </is>
      </c>
      <c r="D12" s="10" t="inlineStr">
        <is>
          <t>Hourly profiles for hours outside the assessment window as the CEC peak moves to the morning.</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8"/>
  <sheetViews>
    <sheetView zoomScaleNormal="100" workbookViewId="0">
      <selection activeCell="A1" sqref="A1"/>
    </sheetView>
  </sheetViews>
  <sheetFormatPr baseColWidth="10" defaultColWidth="8.6640625" defaultRowHeight="15"/>
  <cols>
    <col width="120" customWidth="1" min="1" max="1"/>
  </cols>
  <sheetData>
    <row r="1" ht="17" customHeight="1">
      <c r="A1" s="2" t="inlineStr">
        <is>
          <t>Notes and assumptions</t>
        </is>
      </c>
    </row>
    <row r="2">
      <c r="A2" s="7" t="n"/>
    </row>
    <row r="3">
      <c r="A3" s="7" t="inlineStr">
        <is>
          <t>Premise tested: that the LIPs are a sufficient forecasting tool for RA, distribution and transmission use cases.</t>
        </is>
      </c>
    </row>
    <row r="4" ht="29" customHeight="1">
      <c r="A4" s="7" t="inlineStr">
        <is>
          <t>LIP 'today' column draws on the LIP Playbook; items flagged there (Protocol 20 percentiles, Protocol 19 content, QC percentile and weather case) remain to be verified.</t>
        </is>
      </c>
    </row>
    <row r="5">
      <c r="A5" s="7" t="inlineStr">
        <is>
          <t>Asset-class entries describe how each gap shows up for that class; they are qualitative and not yet quantified.</t>
        </is>
      </c>
    </row>
    <row r="6">
      <c r="A6" s="7" t="inlineStr">
        <is>
          <t>Transmission is covered only where LCR or deliverability touches a gap (G1, G3); a fuller transmission view would need the LCR study inputs.</t>
        </is>
      </c>
    </row>
    <row r="7">
      <c r="A7" s="7" t="inlineStr">
        <is>
          <t>Severity is a judgment for discussion, not a scored result.</t>
        </is>
      </c>
    </row>
    <row r="8">
      <c r="A8" s="7" t="inlineStr">
        <is>
          <t>Hypothesis thresholds (e.g., 25%, 2x, 80%) are proposed pass/fail lines for test design, not estimates; set final thresholds before running each test.</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1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ols>
    <col width="5" customWidth="1" min="1" max="1"/>
    <col width="28" customWidth="1" min="2" max="2"/>
    <col width="40" customWidth="1" min="3" max="3"/>
    <col width="55" customWidth="1" min="4" max="4"/>
    <col width="60" customWidth="1" min="5" max="5"/>
    <col width="22" customWidth="1" min="6" max="6"/>
    <col width="70" customWidth="1" min="7" max="7"/>
  </cols>
  <sheetData>
    <row r="1" ht="30" customHeight="1">
      <c r="A1" s="8" t="inlineStr">
        <is>
          <t>#</t>
        </is>
      </c>
      <c r="B1" s="8" t="inlineStr">
        <is>
          <t>Issue</t>
        </is>
      </c>
      <c r="C1" s="8" t="inlineStr">
        <is>
          <t>Description</t>
        </is>
      </c>
      <c r="D1" s="8" t="inlineStr">
        <is>
          <t>Most relevant proposal to CPUC</t>
        </is>
      </c>
      <c r="E1" s="8" t="inlineStr">
        <is>
          <t>CPUC response</t>
        </is>
      </c>
      <c r="F1" s="8" t="inlineStr">
        <is>
          <t>DDEMI Track 1 status/coverage</t>
        </is>
      </c>
      <c r="G1" s="8" t="inlineStr">
        <is>
          <t>DDEMI Track 1 description</t>
        </is>
      </c>
    </row>
    <row r="2" ht="126" customHeight="1">
      <c r="A2" s="15" t="n">
        <v>1</v>
      </c>
      <c r="B2" s="16" t="inlineStr">
        <is>
          <t>Forward capacity determination</t>
        </is>
      </c>
      <c r="C2" s="17" t="inlineStr">
        <is>
          <t>How to split a site's capability into self-consumption, charging and export, and assign a forward QC to the exportable portion</t>
        </is>
      </c>
      <c r="D2" s="17" t="inlineStr">
        <is>
          <t>Joint Solar/Storage (2021) and Joint DER Parties (2022): apply the in-front-of-meter (IFOM) QC to BTM (standalone storage at Pmax; hybrids via IFOM hybrid formula), inclusive of exports, settled at the battery inverter</t>
        </is>
      </c>
      <c r="E2" s="17" t="inlineStr">
        <is>
          <t>Rejected as premature (D.21-06-029): BTM and IFOM resources behave differently and should not necessarily be counted equivalently; the Commission can't value a product not yet defined. 2022 proposal (D.22-06-050) found to need further refinement</t>
        </is>
      </c>
      <c r="F2" s="17" t="inlineStr">
        <is>
          <t>Not addressed in Track 1; QC runs through the CPUC's LIPs</t>
        </is>
      </c>
      <c r="G2" s="17" t="inlineStr">
        <is>
          <t>Track 1 changes only after-the-fact DR energy measurement; CAISO leaves QC to the CPUC as local regulatory authority (p. 16). For DR, the CPUC's default QC method is the Load Impact Protocols (retained in D.21-06-029): ex post evaluations inform ex ante impact forecasts, which set QC. So Track 1's effect on capacity would arrive through the LIPs. Open LIP question: whether and how ex post evaluations and ex ante forecasts should reflect customer-level exports, given the resource-level ceiling (a resource can't net export, so its maximum is its customers' combined baseline load). Exports count only as a way to deliver curtailment across the aggregation, not as export capacity.</t>
        </is>
      </c>
    </row>
    <row r="3" ht="70" customHeight="1">
      <c r="A3" s="15" t="n">
        <v>2</v>
      </c>
      <c r="B3" s="16" t="inlineStr">
        <is>
          <t>RA requirements tied to the customer providing capacity</t>
        </is>
      </c>
      <c r="C3" s="17" t="inlineStr">
        <is>
          <t>Whether the same kW lowers the LSE's load forecast and also counts as supply, creating double counting</t>
        </is>
      </c>
      <c r="D3" s="17" t="inlineStr">
        <is>
          <t>Market-informed pathway: BTM resources receive RA value without CAISO integration, alongside existing load-forecast treatment</t>
        </is>
      </c>
      <c r="E3" s="17" t="inlineStr">
        <is>
          <t>PG&amp;E (a party, not the Commission) raised double counting. Commission position: LSEs may reduce peak load any way they choose, which is captured in the next year's forecast. That is implicit credit only, not QC</t>
        </is>
      </c>
      <c r="F3" s="17" t="inlineStr">
        <is>
          <t>Partially, by design</t>
        </is>
      </c>
      <c r="G3" s="17" t="inlineStr">
        <is>
          <t>"DR resources may use only their own customers' load" (p. 14), so capacity can't exceed load already in the LSE's forecast. Open risk: enrolling non-responsive customers just to absorb exports. Energy Division staff, Cal Advocates and SCE asked for safeguards; CAISO's market monitor warned QC could exceed real capability. CAISO declined to add aggregation composition rules (pp. 15-16).</t>
        </is>
      </c>
    </row>
    <row r="4" ht="84" customHeight="1">
      <c r="A4" s="15" t="n">
        <v>3</v>
      </c>
      <c r="B4" s="16" t="inlineStr">
        <is>
          <t>Wholesale participation (metering, dispatch control, CAISO communication)</t>
        </is>
      </c>
      <c r="C4" s="17" t="inlineStr">
        <is>
          <t>Whether the resource is visible to and dispatchable by CAISO, with M&amp;V and performance accountability</t>
        </is>
      </c>
      <c r="D4" s="17" t="inlineStr">
        <is>
          <t>Two pathways (2021): (a) market-informed, with dispatch triggers informed by the market but not integrated; (b) market-integrated, with a must-offer obligation in AAH, RAAIM exposure, and PDR-style minimum dispatch (2022)</t>
        </is>
      </c>
      <c r="E4" s="17" t="inlineStr">
        <is>
          <t>(a) Rejected: soft triggers are inadequate under D.15-11-042; no M&amp;V or penalty structure; trigger criteria don't ensure reliable dispatch. Standing rule: event-based DR that can be integrated must be. (b) Folded into the 'premature' finding</t>
        </is>
      </c>
      <c r="F4" s="17" t="inlineStr">
        <is>
          <t>Addressed (core of Track 1)</t>
        </is>
      </c>
      <c r="G4" s="17" t="inlineStr">
        <is>
          <t>Stays fully inside CAISO's existing DR models (PDR/RDRR, all PEMs), meeting D.15-11-042's integration rule. CAISO's DR registration system will flag export-authorized customers (and, where feasible, authorized export levels); the utility verifies the interconnection agreement; SCs apply the resource-level cap. Bidding, performance and settlement obligations are unchanged (pp. 17-19). Not addressed: device-level metering, deferred to a later phase.</t>
        </is>
      </c>
    </row>
    <row r="5" ht="70" customHeight="1">
      <c r="A5" s="15" t="n">
        <v>4</v>
      </c>
      <c r="B5" s="16" t="inlineStr">
        <is>
          <t>Energy cost for consumption, charging and export</t>
        </is>
      </c>
      <c r="C5" s="17" t="inlineStr">
        <is>
          <t>How energy is settled when a battery switches between retail and wholesale roles (sale-for-resale, metering, accounting)</t>
        </is>
      </c>
      <c r="D5" s="17" t="inlineStr">
        <is>
          <t>'Keep all things retail' in the interim, with contracts ensuring no net sale of energy (e.g., PG&amp;E LTRA with energy settlement); a new rulemaking for wholesale/retail metering differentiation</t>
        </is>
      </c>
      <c r="E5" s="17" t="inlineStr">
        <is>
          <t>No standalone ruling. Remains on the unresolved list, so it has blocked QC by default</t>
        </is>
      </c>
      <c r="F5" s="17" t="inlineStr">
        <is>
          <t>Partially</t>
        </is>
      </c>
      <c r="G5" s="17" t="inlineStr">
        <is>
          <t>No resale problem at the resource level: DR stays load reduction and the proposal does not authorize exports as a DR product (p. 20). Retail settlement at the customer meter is unchanged; the wholesale market pays only for incremental response. CAISO acknowledges the retail tariff will also credit the dispatched export energy at ACC (NBT) or retail rate (NEM) (p. 35), which leads into issue 5.</t>
        </is>
      </c>
    </row>
    <row r="6" ht="84" customHeight="1">
      <c r="A6" s="15" t="n">
        <v>5</v>
      </c>
      <c r="B6" s="16" t="inlineStr">
        <is>
          <t>NEM/SGIP compensation netting</t>
        </is>
      </c>
      <c r="C6" s="17" t="inlineStr">
        <is>
          <t>Ensuring resources already paid through NEM/NBT or SGIP aren't compensated beyond their value (double compensation)</t>
        </is>
      </c>
      <c r="D6" s="17" t="inlineStr">
        <is>
          <t>Incrementality framework: SGIP treated as not relevant absent a dispatch requirement; NEM sites get standalone-storage QC with no solar credit; IDER/DIDF precedent. In 2026, DDEMI parties argue retail export credit and wholesale DR payment are distinct products</t>
        </is>
      </c>
      <c r="E6" s="17" t="inlineStr">
        <is>
          <t>Unresolved. In DDEMI Track 1 (Jul 2026), Energy Division staff, Cal Advocates and the IOUs argued every exported kWh from NEM/NBT customers would be paid twice; Energy Division staff asked to exclude NEM/NBT customers until resolved and to delay implementation to 2028</t>
        </is>
      </c>
      <c r="F6" s="17" t="inlineStr">
        <is>
          <t>Contested; CAISO declines to exclude NEM/NBT</t>
        </is>
      </c>
      <c r="G6" s="17" t="inlineStr">
        <is>
          <t>CAISO: different products. Retail credit is set in advance and requires no dispatch; the wholesale payment is for dispatched, incremental response measured against a baseline that already includes routine exports (pp. 34-35). Energy Division staff, Cal Advocates and the IOUs: every exported kWh is paid twice; Energy Division staff asked to exclude NEM/NBT customers and delay to 2028 (pp. 8-9, 33-34). CAISO places the fix on the retail side, the CPUC's lever.</t>
        </is>
      </c>
    </row>
    <row r="7" ht="42" customHeight="1">
      <c r="A7" s="15" t="n">
        <v>6</v>
      </c>
      <c r="B7" s="16" t="inlineStr">
        <is>
          <t>Load forecasting and adjustment</t>
        </is>
      </c>
      <c r="C7" s="17" t="inlineStr">
        <is>
          <t>How export-capable BTM resources are reflected in the CEC forecast without being counted on both sides</t>
        </is>
      </c>
      <c r="D7" s="17" t="inlineStr">
        <is>
          <t>Let LSEs adjust monthly forecasts and RA obligations for new DER deployment; feed submetered BTM data into CEC forecasting</t>
        </is>
      </c>
      <c r="E7" s="17" t="inlineStr">
        <is>
          <t>Found unclear how such resources would be incorporated in the load forecasting process (2021, re: market-informed pathway). No adopted method</t>
        </is>
      </c>
      <c r="F7" s="17" t="inlineStr">
        <is>
          <t>Not addressed</t>
        </is>
      </c>
      <c r="G7" s="17" t="inlineStr">
        <is>
          <t>Treated as a CEC/CPUC matter. Implicit position only: routine battery charging, discharging and exports belong in the baseline (p. 23), which presumes they are also in the load forecast. No method for forecasting incremental dispatched exports.</t>
        </is>
      </c>
    </row>
    <row r="8" ht="70" customHeight="1">
      <c r="A8" s="15" t="n">
        <v>7</v>
      </c>
      <c r="B8" s="16" t="inlineStr">
        <is>
          <t>Interaction with existing BTM models (PDR)</t>
        </is>
      </c>
      <c r="C8" s="17" t="inlineStr">
        <is>
          <t>PDR measures load reduction only and zeroes out exports; DERP is unused for lack of QC, a circular dependency</t>
        </is>
      </c>
      <c r="D8" s="17" t="inlineStr">
        <is>
          <t>2021: modify PDR/DERP to allow export credit (parties conceded PDR exports had not proven feasible). 2026 DDEMI Track 1: modify PEMs to credit exports within Rule 21 export limits, provided the resource doesn't net export</t>
        </is>
      </c>
      <c r="E8" s="17" t="inlineStr">
        <is>
          <t>2021: declined to assign capacity value to exports from market-integrated DR. 2026: Energy Division staff supported the core concept for export-authorized customers but asked to phase in RDRR later, delay to 2028, and cap baseline adjustment factors at 1.0 (performance measurement only; QC still CPUC's call)</t>
        </is>
      </c>
      <c r="F8" s="17" t="inlineStr">
        <is>
          <t>Addressed directly</t>
        </is>
      </c>
      <c r="G8" s="17" t="inlineStr">
        <is>
          <t>Ends customer-level zeroing of exports across all PEMs (extending current MGO practice) while keeping the zero cap at the resource level (pp. 19-22). Fixes invalid baseline adjustments with a three-step fallback: existing method, then exclude export intervals, then default to 1.0 (pp. 23-33). Rejects Energy Division staff's cap at 1.0 and proxy factors. Net-exporting aggregations are pushed to DERA or a future phase.</t>
        </is>
      </c>
    </row>
    <row r="9" ht="126" customHeight="1">
      <c r="A9" s="15" t="n">
        <v>8</v>
      </c>
      <c r="B9" s="16" t="inlineStr">
        <is>
          <t>Deliverability</t>
        </is>
      </c>
      <c r="C9" s="17" t="inlineStr">
        <is>
          <t>Whether exports are deliverable to the grid at peak; Rule 21 interconnection involves no deliverability study</t>
        </is>
      </c>
      <c r="D9" s="17" t="inlineStr">
        <is>
          <t>Study DER aggregations (not single sites) at DGD nodes; LSEs signal studies and allocate T&amp;D upgrades; adopt QC now, with NQC to follow via CAISO process</t>
        </is>
      </c>
      <c r="E9" s="17" t="inlineStr">
        <is>
          <t>Named as the key component of RA counting; a Rule 21 resource has no guarantee that exports are deliverable at peak. As of June 2026, CAISO's deliverability methodology keeps previously granted deliverability, limiting DR treatment</t>
        </is>
      </c>
      <c r="F9" s="17" t="inlineStr">
        <is>
          <t>Status quo preserved; barrier restated</t>
        </is>
      </c>
      <c r="G9" s="17" t="inlineStr">
        <is>
          <t>DR aggregations are registered and modeled as load within a sub-LAP, with load spread across network nodes by load distribution factors. A net-exporting aggregation would misrepresent where injections occur in the Full Network Model, affecting flows, congestion and pricing, so net export is out of scope (p. 13); revisions to the sub-LAP registration requirement are being considered in Track 2 (p. 11, fn. 2). The resource-level cap means no new deliverability claim. DR deliverability is grandfathered from 2005, for curtailment only and at 2005 volumes; exporting DR would need to queue and obtain its own TPD allocation, and material DR growth may require a new allocation process (pp. 14-15).</t>
        </is>
      </c>
    </row>
    <row r="11">
      <c r="B11" s="18" t="inlineStr">
        <is>
          <t>Notes:</t>
        </is>
      </c>
    </row>
    <row r="12">
      <c r="B12" s="3" t="inlineStr">
        <is>
          <t>Row 2: the double-counting objection came from PG&amp;E, not the Commission.</t>
        </is>
      </c>
    </row>
    <row r="13">
      <c r="B13" s="3" t="inlineStr">
        <is>
          <t>Rows 4-6: the Commission never ruled on these specifically; they stayed on the unresolved list, which kept QC off the table.</t>
        </is>
      </c>
    </row>
    <row r="14">
      <c r="B14" s="3" t="inlineStr">
        <is>
          <t>Issue list source: D.20-06-031 at 32, reaffirmed in D.21-06-029 (R.19-11-009, section 6.4.2).</t>
        </is>
      </c>
    </row>
    <row r="15">
      <c r="B15" s="3" t="inlineStr">
        <is>
          <t>DDEMI columns: page references are to the CAISO DDEMI Track 1 Draft Final Proposal, July 8, 2026.</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B10"/>
  <sheetViews>
    <sheetView zoomScaleNormal="100" workbookViewId="0">
      <selection activeCell="A1" sqref="A1"/>
    </sheetView>
  </sheetViews>
  <sheetFormatPr baseColWidth="10" defaultColWidth="8.6640625" defaultRowHeight="15"/>
  <cols>
    <col width="60" customWidth="1" min="1" max="1"/>
    <col width="100" customWidth="1" min="2" max="2"/>
  </cols>
  <sheetData>
    <row r="1">
      <c r="A1" s="19" t="inlineStr">
        <is>
          <t>Source</t>
        </is>
      </c>
      <c r="B1" s="19" t="inlineStr">
        <is>
          <t>URL</t>
        </is>
      </c>
    </row>
    <row r="2">
      <c r="A2" s="5" t="inlineStr">
        <is>
          <t>D.21-06-029 Proposed Decision, R.19-11-009 (sec. 6.4.2)</t>
        </is>
      </c>
      <c r="B2" s="5" t="inlineStr">
        <is>
          <t>https://docs.cpuc.ca.gov/PublishedDocs/Efile/G000/M385/K021/385021548.PDF</t>
        </is>
      </c>
    </row>
    <row r="3">
      <c r="A3" s="5" t="inlineStr">
        <is>
          <t>Joint DER Parties, BTM QC Phase 2 workshop (Feb 2022)</t>
        </is>
      </c>
      <c r="B3" s="5" t="inlineStr">
        <is>
          <t>https://www.cpuc.ca.gov/-/media/cpuc-website/divisions/energy-division/documents/resource-adequacy-homepage/joint-der-parties----behind-the-meter-qualifying-capacity----implementation-track-phase-ii.pdf</t>
        </is>
      </c>
    </row>
    <row r="4">
      <c r="A4" s="5" t="inlineStr">
        <is>
          <t>CAISO reply comments on R.21-10-002 PD (June 2022)</t>
        </is>
      </c>
      <c r="B4" s="5" t="inlineStr">
        <is>
          <t>https://www.caiso.com/documents/jun14-2022-replycomments_administrativelawjudgesproposeddecision-resourceadequacy-r21-10-002.pdf</t>
        </is>
      </c>
    </row>
    <row r="5">
      <c r="A5" s="5" t="inlineStr">
        <is>
          <t>SCE comments, CAISO ESDER Phase 4</t>
        </is>
      </c>
      <c r="B5" s="5" t="inlineStr">
        <is>
          <t>https://www.caiso.com/Documents/SCEComments-EnergyStorage-DistributedEnergyResources-Phase4-Aug21WorkingGroup.pdf</t>
        </is>
      </c>
    </row>
    <row r="6">
      <c r="A6" s="5" t="inlineStr">
        <is>
          <t>CAISO DDEMI Track 1 Revised Straw Proposal (June 2026)</t>
        </is>
      </c>
      <c r="B6" s="5" t="inlineStr">
        <is>
          <t>https://stakeholdercenter.caiso.com/InitiativeDocuments/Revised-Straw-Proposal-Demand-and-Distributed-Energy-Market-Integration-2026-06-11.pdf</t>
        </is>
      </c>
    </row>
    <row r="7">
      <c r="A7" s="5" t="inlineStr">
        <is>
          <t>CAISO DDEMI Track 1 Draft Final Proposal (July 8, 2026)</t>
        </is>
      </c>
      <c r="B7" s="5" t="inlineStr">
        <is>
          <t>https://stakeholdercenter.caiso.com/InitiativeDocuments/Draft-Final-Proposal-Demand-and-Distributed-Energy-Market-Integration-DDEMI-Track1-Jul-08-2026.pdf</t>
        </is>
      </c>
    </row>
    <row r="8">
      <c r="A8" s="5" t="inlineStr">
        <is>
          <t>CAISO DDEMI Track 1 Draft Final presentation (July 2026)</t>
        </is>
      </c>
      <c r="B8" s="5" t="inlineStr">
        <is>
          <t>https://stakeholdercenter.caiso.com/InitiativeDocuments/Presentation-Demand-and-Distributed-Energy-Market-Integration-DDEMI-July-09-26.pdf</t>
        </is>
      </c>
    </row>
    <row r="9">
      <c r="A9" s="5" t="inlineStr">
        <is>
          <t>CalCCA comments on DDEMI Revised Straw</t>
        </is>
      </c>
      <c r="B9" s="5" t="inlineStr">
        <is>
          <t>https://stakeholdercenter.caiso.com/Comments/AllComments/500B71FE-B0FB-4AE4-85F1-8EFCBD3806F6</t>
        </is>
      </c>
    </row>
    <row r="10">
      <c r="A10" s="5" t="inlineStr">
        <is>
          <t>CAISO response to comments, deliverability methodology (June 2026)</t>
        </is>
      </c>
      <c r="B10" s="5" t="inlineStr">
        <is>
          <t>https://www.caiso.com/documents/caiso-response-to-comments-on-peak-deliverability-assessment-methodology-refinements-jun-11-2026.pdf</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25"/>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12" customWidth="1" min="1" max="1"/>
    <col width="22" customWidth="1" min="2" max="2"/>
    <col width="70" customWidth="1" min="3" max="3"/>
    <col width="12" customWidth="1" min="4" max="4"/>
    <col width="30" customWidth="1" min="5" max="5"/>
    <col width="60" customWidth="1" min="6" max="6"/>
  </cols>
  <sheetData>
    <row r="1" ht="17" customHeight="1">
      <c r="A1" s="2" t="inlineStr">
        <is>
          <t>The ten questions: definitions</t>
        </is>
      </c>
    </row>
    <row r="2">
      <c r="A2" s="3" t="inlineStr">
        <is>
          <t>Column headers Q1–Q10 on the coverage sheets refer to these questions.</t>
        </is>
      </c>
    </row>
    <row r="3">
      <c r="A3" s="8" t="inlineStr">
        <is>
          <t>#</t>
        </is>
      </c>
      <c r="B3" s="8" t="inlineStr">
        <is>
          <t>Short label</t>
        </is>
      </c>
      <c r="C3" s="8" t="inlineStr">
        <is>
          <t>Question</t>
        </is>
      </c>
      <c r="D3" s="8" t="inlineStr">
        <is>
          <t>Layer</t>
        </is>
      </c>
      <c r="E3" s="8" t="inlineStr">
        <is>
          <t>Question type</t>
        </is>
      </c>
      <c r="F3" s="8" t="inlineStr">
        <is>
          <t>What a complete answer looks like</t>
        </is>
      </c>
    </row>
    <row r="4">
      <c r="A4" s="9" t="inlineStr">
        <is>
          <t>Q1</t>
        </is>
      </c>
      <c r="B4" s="9" t="inlineStr">
        <is>
          <t>Benefits</t>
        </is>
      </c>
      <c r="C4" s="10" t="inlineStr">
        <is>
          <t>What benefits are created by use case?</t>
        </is>
      </c>
      <c r="D4" s="10" t="inlineStr">
        <is>
          <t>Value</t>
        </is>
      </c>
      <c r="E4" s="10" t="inlineStr">
        <is>
          <t>Analytical</t>
        </is>
      </c>
      <c r="F4" s="10" t="inlineStr">
        <is>
          <t>For each need, the benefit streams the resource creates and who receives them.</t>
        </is>
      </c>
    </row>
    <row r="5" ht="26" customHeight="1">
      <c r="A5" s="9" t="inlineStr">
        <is>
          <t>Q2</t>
        </is>
      </c>
      <c r="B5" s="9" t="inlineStr">
        <is>
          <t>Avoided costs</t>
        </is>
      </c>
      <c r="C5" s="10" t="inlineStr">
        <is>
          <t>What avoided infrastructure and operational costs can be quantified?</t>
        </is>
      </c>
      <c r="D5" s="10" t="inlineStr">
        <is>
          <t>Value</t>
        </is>
      </c>
      <c r="E5" s="10" t="inlineStr">
        <is>
          <t>Analytical</t>
        </is>
      </c>
      <c r="F5" s="10" t="inlineStr">
        <is>
          <t>For each need, the avoided costs that can be put in dollars, and the method for each.</t>
        </is>
      </c>
    </row>
    <row r="6" ht="26" customHeight="1">
      <c r="A6" s="9" t="inlineStr">
        <is>
          <t>Q3</t>
        </is>
      </c>
      <c r="B6" s="9" t="inlineStr">
        <is>
          <t>Benefit sharing</t>
        </is>
      </c>
      <c r="C6" s="10" t="inlineStr">
        <is>
          <t>How should benefits and incentives be shared amongst PG&amp;E, aggregators, and customers?</t>
        </is>
      </c>
      <c r="D6" s="10" t="inlineStr">
        <is>
          <t>Mechanism</t>
        </is>
      </c>
      <c r="E6" s="10" t="inlineStr">
        <is>
          <t>Policy, informed by mechanism design</t>
        </is>
      </c>
      <c r="F6" s="10" t="inlineStr">
        <is>
          <t>A rule or range for dividing net benefit among ratepayers, aggregators and customers, by mechanism.</t>
        </is>
      </c>
    </row>
    <row r="7" ht="26" customHeight="1">
      <c r="A7" s="9" t="inlineStr">
        <is>
          <t>Q4</t>
        </is>
      </c>
      <c r="B7" s="9" t="inlineStr">
        <is>
          <t>Real-time and forward value</t>
        </is>
      </c>
      <c r="C7" s="10" t="inlineStr">
        <is>
          <t>How do we determine the real-time and forward-looking value of flexibility across all grid needs?</t>
        </is>
      </c>
      <c r="D7" s="10" t="inlineStr">
        <is>
          <t>Value</t>
        </is>
      </c>
      <c r="E7" s="10" t="inlineStr">
        <is>
          <t>Analytical</t>
        </is>
      </c>
      <c r="F7" s="10" t="inlineStr">
        <is>
          <t>A forward value ($/effective kW-yr) and a real-time value ($/effective kWh or $/event) for each need.</t>
        </is>
      </c>
    </row>
    <row r="8" ht="26" customHeight="1">
      <c r="A8" s="9" t="inlineStr">
        <is>
          <t>Q5</t>
        </is>
      </c>
      <c r="B8" s="9" t="inlineStr">
        <is>
          <t>Fully loaded cost</t>
        </is>
      </c>
      <c r="C8" s="10" t="inlineStr">
        <is>
          <t>How can we accurately calculate the fully loaded cost of each flex resource? What costs should be included beyond incentives? How do these costs vary by technology?</t>
        </is>
      </c>
      <c r="D8" s="10" t="inlineStr">
        <is>
          <t>Cost</t>
        </is>
      </c>
      <c r="E8" s="10" t="inlineStr">
        <is>
          <t>Analytical</t>
        </is>
      </c>
      <c r="F8" s="10" t="inlineStr">
        <is>
          <t>A cost build-up per asset class: incentive, acquisition, enablement, administration, M&amp;V, telemetry, attrition.</t>
        </is>
      </c>
    </row>
    <row r="9" ht="52" customHeight="1">
      <c r="A9" s="9" t="inlineStr">
        <is>
          <t>Q6</t>
        </is>
      </c>
      <c r="B9" s="9" t="inlineStr">
        <is>
          <t>Dispatch rule and threshold</t>
        </is>
      </c>
      <c r="C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D9" s="10" t="inlineStr">
        <is>
          <t>Mechanism</t>
        </is>
      </c>
      <c r="E9" s="10" t="inlineStr">
        <is>
          <t>Design (dispatch rule) and policy (rate-pressure constraint)</t>
        </is>
      </c>
      <c r="F9" s="10" t="inlineStr">
        <is>
          <t>A dispatch rule (what is compared to what) and a minimum net-benefit threshold, tested against alternatives.</t>
        </is>
      </c>
    </row>
    <row r="10" ht="26" customHeight="1">
      <c r="A10" s="9" t="inlineStr">
        <is>
          <t>Q7</t>
        </is>
      </c>
      <c r="B10" s="9" t="inlineStr">
        <is>
          <t>Procurement mechanism</t>
        </is>
      </c>
      <c r="C10" s="10" t="inlineStr">
        <is>
          <t>What procurement mechanism best matches each type of grid need: competitive solicitations, reverse auctions, fixed-price procurement, bilaterals, or tariff-based participation?</t>
        </is>
      </c>
      <c r="D10" s="10" t="inlineStr">
        <is>
          <t>Mechanism</t>
        </is>
      </c>
      <c r="E10" s="10" t="inlineStr">
        <is>
          <t>Design</t>
        </is>
      </c>
      <c r="F10" s="10" t="inlineStr">
        <is>
          <t>For each need, the mechanism that fits its certainty, lead time and market depth.</t>
        </is>
      </c>
    </row>
    <row r="11" ht="26" customHeight="1">
      <c r="A11" s="9" t="inlineStr">
        <is>
          <t>Q8</t>
        </is>
      </c>
      <c r="B11" s="9" t="inlineStr">
        <is>
          <t>Max willingness to pay</t>
        </is>
      </c>
      <c r="C11" s="10" t="inlineStr">
        <is>
          <t>How should PG&amp;E determine the maximum amount it is willing to pay for flexibility?</t>
        </is>
      </c>
      <c r="D11" s="10" t="inlineStr">
        <is>
          <t>Value</t>
        </is>
      </c>
      <c r="E11" s="10" t="inlineStr">
        <is>
          <t>Analytical</t>
        </is>
      </c>
      <c r="F11" s="10" t="inlineStr">
        <is>
          <t>For each need, a price ceiling: the lesser of value and the cost of the next-best alternative, in effective kW.</t>
        </is>
      </c>
    </row>
    <row r="12" ht="26" customHeight="1">
      <c r="A12" s="9" t="inlineStr">
        <is>
          <t>Q9</t>
        </is>
      </c>
      <c r="B12" s="9" t="inlineStr">
        <is>
          <t>Bid evaluation</t>
        </is>
      </c>
      <c r="C12" s="10" t="inlineStr">
        <is>
          <t>How should bids be evaluated and selected when multiple providers can solve the same grid need?</t>
        </is>
      </c>
      <c r="D12" s="10" t="inlineStr">
        <is>
          <t>Mechanism</t>
        </is>
      </c>
      <c r="E12" s="10" t="inlineStr">
        <is>
          <t>Design (scoring rule)</t>
        </is>
      </c>
      <c r="F12" s="10" t="inlineStr">
        <is>
          <t>A scoring rule that compares offers on a common unit (effective kW at the need, risk-adjusted).</t>
        </is>
      </c>
    </row>
    <row r="13" ht="26" customHeight="1">
      <c r="A13" s="9" t="inlineStr">
        <is>
          <t>Q10</t>
        </is>
      </c>
      <c r="B13" s="9" t="inlineStr">
        <is>
          <t>Pathway interaction</t>
        </is>
      </c>
      <c r="C13" s="10" t="inlineStr">
        <is>
          <t>How should flexibility procurement interact with other participation pathways?</t>
        </is>
      </c>
      <c r="D13" s="10" t="inlineStr">
        <is>
          <t>Mechanism</t>
        </is>
      </c>
      <c r="E13" s="10" t="inlineStr">
        <is>
          <t>Policy, informed by RA/DDEMI analysis</t>
        </is>
      </c>
      <c r="F13" s="10" t="inlineStr">
        <is>
          <t>Rules for stacking, priority and incrementality across CAISO, programs, tariffs and local procurement.</t>
        </is>
      </c>
    </row>
    <row r="15">
      <c r="A15" s="19" t="inlineStr">
        <is>
          <t>Layers</t>
        </is>
      </c>
      <c r="B15" s="20" t="n"/>
      <c r="C15" s="20" t="n"/>
      <c r="D15" s="20" t="n"/>
      <c r="E15" s="20" t="n"/>
      <c r="F15" s="20" t="n"/>
    </row>
    <row r="16">
      <c r="A16" s="20" t="inlineStr">
        <is>
          <t>Value</t>
        </is>
      </c>
      <c r="B16" s="20" t="inlineStr">
        <is>
          <t>What flexibility is worth to PG&amp;E, per need.</t>
        </is>
      </c>
      <c r="C16" s="20" t="n"/>
      <c r="D16" s="20" t="n"/>
      <c r="E16" s="20" t="n"/>
      <c r="F16" s="20" t="n"/>
    </row>
    <row r="17">
      <c r="A17" s="20" t="inlineStr">
        <is>
          <t>Cost</t>
        </is>
      </c>
      <c r="B17" s="20" t="inlineStr">
        <is>
          <t>What it costs to supply, per technology.</t>
        </is>
      </c>
      <c r="C17" s="20" t="n"/>
      <c r="D17" s="20" t="n"/>
      <c r="E17" s="20" t="n"/>
      <c r="F17" s="20" t="n"/>
    </row>
    <row r="18">
      <c r="A18" s="20" t="inlineStr">
        <is>
          <t>Mechanism</t>
        </is>
      </c>
      <c r="B18" s="20" t="inlineStr">
        <is>
          <t>How value and cost are matched, short-run and forward, and who keeps the surplus.</t>
        </is>
      </c>
      <c r="C18" s="20" t="n"/>
      <c r="D18" s="20" t="n"/>
      <c r="E18" s="20" t="n"/>
      <c r="F18" s="20" t="n"/>
    </row>
    <row r="19">
      <c r="A19" s="20" t="n"/>
      <c r="B19" s="20" t="n"/>
      <c r="C19" s="20" t="n"/>
      <c r="D19" s="20" t="n"/>
      <c r="E19" s="20" t="n"/>
      <c r="F19" s="20" t="n"/>
    </row>
    <row r="20">
      <c r="A20" s="19" t="inlineStr">
        <is>
          <t>Tags (coverage sheets)</t>
        </is>
      </c>
      <c r="B20" s="20" t="n"/>
      <c r="C20" s="20" t="n"/>
      <c r="D20" s="20" t="n"/>
      <c r="E20" s="20" t="n"/>
      <c r="F20" s="20" t="n"/>
    </row>
    <row r="21">
      <c r="A21" s="21" t="inlineStr">
        <is>
          <t>Answered</t>
        </is>
      </c>
      <c r="B21" s="20" t="inlineStr">
        <is>
          <t>Existing work covers it.</t>
        </is>
      </c>
      <c r="C21" s="20" t="n"/>
      <c r="D21" s="20" t="n"/>
      <c r="E21" s="20" t="n"/>
      <c r="F21" s="20" t="n"/>
    </row>
    <row r="22">
      <c r="A22" s="22" t="inlineStr">
        <is>
          <t>Partial</t>
        </is>
      </c>
      <c r="B22" s="20" t="inlineStr">
        <is>
          <t>Covered in part.</t>
        </is>
      </c>
      <c r="C22" s="20" t="n"/>
      <c r="D22" s="20" t="n"/>
      <c r="E22" s="20" t="n"/>
      <c r="F22" s="20" t="n"/>
    </row>
    <row r="23">
      <c r="A23" s="23" t="inlineStr">
        <is>
          <t>Gap</t>
        </is>
      </c>
      <c r="B23" s="20" t="inlineStr">
        <is>
          <t>Analytical gap: can be estimated or tested.</t>
        </is>
      </c>
      <c r="C23" s="20" t="n"/>
      <c r="D23" s="20" t="n"/>
      <c r="E23" s="20" t="n"/>
      <c r="F23" s="20" t="n"/>
    </row>
    <row r="24">
      <c r="A24" s="24" t="inlineStr">
        <is>
          <t>Design</t>
        </is>
      </c>
      <c r="B24" s="20" t="inlineStr">
        <is>
          <t>A mechanism choice to test.</t>
        </is>
      </c>
      <c r="C24" s="20" t="n"/>
      <c r="D24" s="20" t="n"/>
      <c r="E24" s="20" t="n"/>
      <c r="F24" s="20" t="n"/>
    </row>
    <row r="25">
      <c r="A25" s="25" t="inlineStr">
        <is>
          <t>Policy</t>
        </is>
      </c>
      <c r="B25" s="20" t="inlineStr">
        <is>
          <t>A decision to frame with evidence, not estimate.</t>
        </is>
      </c>
      <c r="C25" s="20" t="n"/>
      <c r="D25" s="20" t="n"/>
      <c r="E25" s="20" t="n"/>
      <c r="F25" s="20" t="n"/>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14"/>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6" customWidth="1" min="1" max="1"/>
    <col width="24" customWidth="1" min="2" max="2"/>
    <col width="40" customWidth="1" min="3" max="3"/>
    <col width="18" customWidth="1" min="4" max="4"/>
    <col width="16" customWidth="1" min="5" max="5"/>
    <col width="22" customWidth="1" min="6" max="6"/>
    <col width="18" customWidth="1" min="7" max="7"/>
    <col width="24" customWidth="1" min="8" max="8"/>
    <col width="22" customWidth="1" min="9" max="10"/>
    <col width="30" customWidth="1" min="11" max="12"/>
    <col width="26" customWidth="1" min="13" max="13"/>
  </cols>
  <sheetData>
    <row r="1" ht="17" customHeight="1">
      <c r="A1" s="2" t="inlineStr">
        <is>
          <t>Grid needs: attributes that set valuation, willingness to pay and procurement</t>
        </is>
      </c>
    </row>
    <row r="2">
      <c r="A2" s="3" t="inlineStr">
        <is>
          <t>Rows N1–N7 are grid needs; V1–V4 are voltage services. Attributes are first-pass characterizations for discussion.</t>
        </is>
      </c>
    </row>
    <row r="3">
      <c r="A3" s="8" t="inlineStr">
        <is>
          <t>ID</t>
        </is>
      </c>
      <c r="B3" s="8" t="inlineStr">
        <is>
          <t>Need</t>
        </is>
      </c>
      <c r="C3" s="8" t="inlineStr">
        <is>
          <t>Definition</t>
        </is>
      </c>
      <c r="D3" s="8" t="inlineStr">
        <is>
          <t>Certainty</t>
        </is>
      </c>
      <c r="E3" s="8" t="inlineStr">
        <is>
          <t>Lead time</t>
        </is>
      </c>
      <c r="F3" s="8" t="inlineStr">
        <is>
          <t>Duration / frequency</t>
        </is>
      </c>
      <c r="G3" s="8" t="inlineStr">
        <is>
          <t>Location</t>
        </is>
      </c>
      <c r="H3" s="8" t="inlineStr">
        <is>
          <t>Quantity unit</t>
        </is>
      </c>
      <c r="I3" s="8" t="inlineStr">
        <is>
          <t>Market depth</t>
        </is>
      </c>
      <c r="J3" s="8" t="inlineStr">
        <is>
          <t>Valuation paradigm</t>
        </is>
      </c>
      <c r="K3" s="8" t="inlineStr">
        <is>
          <t>Willingness-to-pay anchor</t>
        </is>
      </c>
      <c r="L3" s="8" t="inlineStr">
        <is>
          <t>Candidate procurement</t>
        </is>
      </c>
      <c r="M3" s="8" t="inlineStr">
        <is>
          <t>Existing coverage</t>
        </is>
      </c>
    </row>
    <row r="4" ht="26" customHeight="1">
      <c r="A4" s="9" t="inlineStr">
        <is>
          <t>N1</t>
        </is>
      </c>
      <c r="B4" s="9" t="inlineStr">
        <is>
          <t>System RA</t>
        </is>
      </c>
      <c r="C4" s="10" t="inlineStr">
        <is>
          <t>Capacity to meet CPUC system RA requirements under slice-of-day.</t>
        </is>
      </c>
      <c r="D4" s="10" t="inlineStr">
        <is>
          <t>High (annual requirement)</t>
        </is>
      </c>
      <c r="E4" s="10" t="inlineStr">
        <is>
          <t>1–3 years forward</t>
        </is>
      </c>
      <c r="F4" s="10" t="inlineStr">
        <is>
          <t>4 hours in the assessment window, monthly</t>
        </is>
      </c>
      <c r="G4" s="10" t="inlineStr">
        <is>
          <t>System</t>
        </is>
      </c>
      <c r="H4" s="10" t="inlineStr">
        <is>
          <t>QC MW (LIP-based for DR)</t>
        </is>
      </c>
      <c r="I4" s="10" t="inlineStr">
        <is>
          <t>Deep (bilateral RA market)</t>
        </is>
      </c>
      <c r="J4" s="10" t="inlineStr">
        <is>
          <t>Market price</t>
        </is>
      </c>
      <c r="K4" s="10" t="inlineStr">
        <is>
          <t>RA market price benchmark</t>
        </is>
      </c>
      <c r="L4" s="10" t="inlineStr">
        <is>
          <t>DR programs and tariffs; bilateral RA contracts</t>
        </is>
      </c>
      <c r="M4" s="10" t="inlineStr">
        <is>
          <t>RA sheet; LIP G2, G4–G6</t>
        </is>
      </c>
    </row>
    <row r="5" ht="26" customHeight="1">
      <c r="A5" s="9" t="inlineStr">
        <is>
          <t>N2</t>
        </is>
      </c>
      <c r="B5" s="9" t="inlineStr">
        <is>
          <t>Local RA / LCR</t>
        </is>
      </c>
      <c r="C5" s="10" t="inlineStr">
        <is>
          <t>Capacity inside a local capacity area to meet local requirements.</t>
        </is>
      </c>
      <c r="D5" s="10" t="inlineStr">
        <is>
          <t>High</t>
        </is>
      </c>
      <c r="E5" s="10" t="inlineStr">
        <is>
          <t>Up to 3 years (central procurement)</t>
        </is>
      </c>
      <c r="F5" s="10" t="inlineStr">
        <is>
          <t>Local peak hours, 1-in-10 weather</t>
        </is>
      </c>
      <c r="G5" s="10" t="inlineStr">
        <is>
          <t>Local capacity area / sub-area</t>
        </is>
      </c>
      <c r="H5" s="10" t="inlineStr">
        <is>
          <t>QC MW in the area, effectiveness-weighted</t>
        </is>
      </c>
      <c r="I5" s="10" t="inlineStr">
        <is>
          <t>Thin to moderate</t>
        </is>
      </c>
      <c r="J5" s="10" t="inlineStr">
        <is>
          <t>Market price with effectiveness factors</t>
        </is>
      </c>
      <c r="K5" s="10" t="inlineStr">
        <is>
          <t>Local RA premium (LCR RCM pre-determined price)</t>
        </is>
      </c>
      <c r="L5" s="10" t="inlineStr">
        <is>
          <t>Central procurement solicitation; show or bid</t>
        </is>
      </c>
      <c r="M5" s="10" t="inlineStr">
        <is>
          <t>D.20-12-006; LIP G1, G3</t>
        </is>
      </c>
    </row>
    <row r="6" ht="26" customHeight="1">
      <c r="A6" s="9" t="inlineStr">
        <is>
          <t>N3</t>
        </is>
      </c>
      <c r="B6" s="9" t="inlineStr">
        <is>
          <t>Energy and ancillary</t>
        </is>
      </c>
      <c r="C6" s="10" t="inlineStr">
        <is>
          <t>Wholesale energy and ancillary services in CAISO markets.</t>
        </is>
      </c>
      <c r="D6" s="10" t="inlineStr">
        <is>
          <t>Market-determined</t>
        </is>
      </c>
      <c r="E6" s="10" t="inlineStr">
        <is>
          <t>Day-ahead to real-time</t>
        </is>
      </c>
      <c r="F6" s="10" t="inlineStr">
        <is>
          <t>Hourly to 5-minute</t>
        </is>
      </c>
      <c r="G6" s="10" t="inlineStr">
        <is>
          <t>Sub-LAP / node</t>
        </is>
      </c>
      <c r="H6" s="10" t="inlineStr">
        <is>
          <t>MWh, MW</t>
        </is>
      </c>
      <c r="I6" s="10" t="inlineStr">
        <is>
          <t>Deep</t>
        </is>
      </c>
      <c r="J6" s="10" t="inlineStr">
        <is>
          <t>Market price</t>
        </is>
      </c>
      <c r="K6" s="10" t="inlineStr">
        <is>
          <t>CAISO prices; ACC energy forward</t>
        </is>
      </c>
      <c r="L6" s="10" t="inlineStr">
        <is>
          <t>PDR / RDRR / DERA; RTP tariff</t>
        </is>
      </c>
      <c r="M6" s="10" t="inlineStr">
        <is>
          <t>RA #3, #5; DDEMI; LIP G12</t>
        </is>
      </c>
    </row>
    <row r="7" ht="39" customHeight="1">
      <c r="A7" s="9" t="inlineStr">
        <is>
          <t>N4</t>
        </is>
      </c>
      <c r="B7" s="9" t="inlineStr">
        <is>
          <t>Distribution deferral</t>
        </is>
      </c>
      <c r="C7" s="10" t="inlineStr">
        <is>
          <t>Delay a planned distribution capacity project by keeping element load below its rating.</t>
        </is>
      </c>
      <c r="D7" s="10" t="inlineStr">
        <is>
          <t>Moderate to low (load forecast)</t>
        </is>
      </c>
      <c r="E7" s="10" t="inlineStr">
        <is>
          <t>3–5+ years</t>
        </is>
      </c>
      <c r="F7" s="10" t="inlineStr">
        <is>
          <t>Need-hours at the element, every year to the deferral horizon</t>
        </is>
      </c>
      <c r="G7" s="10" t="inlineStr">
        <is>
          <t>Feeder, bank, transformer</t>
        </is>
      </c>
      <c r="H7" s="10" t="inlineStr">
        <is>
          <t>Firm kW at the element and need-hours</t>
        </is>
      </c>
      <c r="I7" s="10" t="inlineStr">
        <is>
          <t>Thin</t>
        </is>
      </c>
      <c r="J7" s="10" t="inlineStr">
        <is>
          <t>Engineering avoided cost</t>
        </is>
      </c>
      <c r="K7" s="10" t="inlineStr">
        <is>
          <t>Deferral value (carrying cost × deferrable deficiency)</t>
        </is>
      </c>
      <c r="L7" s="10" t="inlineStr">
        <is>
          <t>Competitive solicitation; standard offer contract (DIDF)</t>
        </is>
      </c>
      <c r="M7" s="10" t="inlineStr">
        <is>
          <t>Dx deferral_1–6; LIP G1–G5, G11</t>
        </is>
      </c>
    </row>
    <row r="8" ht="26" customHeight="1">
      <c r="A8" s="9" t="inlineStr">
        <is>
          <t>N5</t>
        </is>
      </c>
      <c r="B8" s="9" t="inlineStr">
        <is>
          <t>Bridge-to-wires</t>
        </is>
      </c>
      <c r="C8" s="10" t="inlineStr">
        <is>
          <t>Keep an element within limits from the need date until the upgrade is in service.</t>
        </is>
      </c>
      <c r="D8" s="10" t="inlineStr">
        <is>
          <t>Near-certain</t>
        </is>
      </c>
      <c r="E8" s="10" t="inlineStr">
        <is>
          <t>0–3 years</t>
        </is>
      </c>
      <c r="F8" s="10" t="inlineStr">
        <is>
          <t>Overload hours across one or more seasons</t>
        </is>
      </c>
      <c r="G8" s="10" t="inlineStr">
        <is>
          <t>Feeder, bank, transformer</t>
        </is>
      </c>
      <c r="H8" s="10" t="inlineStr">
        <is>
          <t>Firm kW at the element and overload hours</t>
        </is>
      </c>
      <c r="I8" s="10" t="inlineStr">
        <is>
          <t>Very thin</t>
        </is>
      </c>
      <c r="J8" s="10" t="inlineStr">
        <is>
          <t>Shadow price or market price</t>
        </is>
      </c>
      <c r="K8" s="10" t="inlineStr">
        <is>
          <t>Cost of temporary measures; VOLL × expected unserved energy</t>
        </is>
      </c>
      <c r="L8" s="10" t="inlineStr">
        <is>
          <t>Bilateral or fixed-price contract; targeted tariff</t>
        </is>
      </c>
      <c r="M8" s="10" t="inlineStr">
        <is>
          <t>Dx bridge_1–7; LIP G4, G5, G12</t>
        </is>
      </c>
    </row>
    <row r="9" ht="26" customHeight="1">
      <c r="A9" s="9" t="inlineStr">
        <is>
          <t>N6</t>
        </is>
      </c>
      <c r="B9" s="9" t="inlineStr">
        <is>
          <t>Speed-to-power</t>
        </is>
      </c>
      <c r="C9" s="10" t="inlineStr">
        <is>
          <t>Create headroom so new load can energize before the upgrade.</t>
        </is>
      </c>
      <c r="D9" s="10" t="inlineStr">
        <is>
          <t>High once the customer commits</t>
        </is>
      </c>
      <c r="E9" s="10" t="inlineStr">
        <is>
          <t>Near-term</t>
        </is>
      </c>
      <c r="F9" s="10" t="inlineStr">
        <is>
          <t>Hours when added load would exceed the rating</t>
        </is>
      </c>
      <c r="G9" s="10" t="inlineStr">
        <is>
          <t>Substation, feeder</t>
        </is>
      </c>
      <c r="H9" s="10" t="inlineStr">
        <is>
          <t>Firm kW headroom at the element</t>
        </is>
      </c>
      <c r="I9" s="10" t="inlineStr">
        <is>
          <t>Thin</t>
        </is>
      </c>
      <c r="J9" s="10" t="inlineStr">
        <is>
          <t>Market price (customer-funded) or avoided delay</t>
        </is>
      </c>
      <c r="K9" s="10" t="inlineStr">
        <is>
          <t>Enabled customer's willingness to pay; avoided revenue delay</t>
        </is>
      </c>
      <c r="L9" s="10" t="inlineStr">
        <is>
          <t>Customer-funded bilateral; flexible interconnection</t>
        </is>
      </c>
      <c r="M9" s="10" t="inlineStr">
        <is>
          <t>Dx bridge_3, bridge_7; speed-to-power work</t>
        </is>
      </c>
    </row>
    <row r="10" ht="26" customHeight="1">
      <c r="A10" s="9" t="inlineStr">
        <is>
          <t>N7</t>
        </is>
      </c>
      <c r="B10" s="9" t="inlineStr">
        <is>
          <t>Real-time distribution congestion</t>
        </is>
      </c>
      <c r="C10" s="10" t="inlineStr">
        <is>
          <t>Relieve an element in-day as overload is forecast or observed.</t>
        </is>
      </c>
      <c r="D10" s="10" t="inlineStr">
        <is>
          <t>High within the day</t>
        </is>
      </c>
      <c r="E10" s="10" t="inlineStr">
        <is>
          <t>Hours</t>
        </is>
      </c>
      <c r="F10" s="10" t="inlineStr">
        <is>
          <t>Event hours</t>
        </is>
      </c>
      <c r="G10" s="10" t="inlineStr">
        <is>
          <t>Feeder, transformer</t>
        </is>
      </c>
      <c r="H10" s="10" t="inlineStr">
        <is>
          <t>kW at the element now</t>
        </is>
      </c>
      <c r="I10" s="10" t="inlineStr">
        <is>
          <t>Thin</t>
        </is>
      </c>
      <c r="J10" s="10" t="inlineStr">
        <is>
          <t>Shadow price</t>
        </is>
      </c>
      <c r="K10" s="10" t="inlineStr">
        <is>
          <t>Avoided loss of life; VOLL</t>
        </is>
      </c>
      <c r="L10" s="10" t="inlineStr">
        <is>
          <t>Dynamic locational tariff; standing dispatch contract</t>
        </is>
      </c>
      <c r="M10" s="10" t="inlineStr">
        <is>
          <t>Dx bridge_6; LIP G12; DR dispatch coordination</t>
        </is>
      </c>
    </row>
    <row r="11" ht="26" customHeight="1">
      <c r="A11" s="9" t="inlineStr">
        <is>
          <t>V1</t>
        </is>
      </c>
      <c r="B11" s="9" t="inlineStr">
        <is>
          <t>Ramp rate</t>
        </is>
      </c>
      <c r="C11" s="10" t="inlineStr">
        <is>
          <t>Limit how fast real power changes, to prevent rapid voltage change, flicker and synchronized rebound.</t>
        </is>
      </c>
      <c r="D11" s="10" t="inlineStr">
        <is>
          <t>Rises with DER penetration</t>
        </is>
      </c>
      <c r="E11" s="10" t="inlineStr">
        <is>
          <t>Mixed</t>
        </is>
      </c>
      <c r="F11" s="10" t="inlineStr">
        <is>
          <t>Seconds to minutes</t>
        </is>
      </c>
      <c r="G11" s="10" t="inlineStr">
        <is>
          <t>PCC and aggregate on a feeder</t>
        </is>
      </c>
      <c r="H11" s="10" t="inlineStr">
        <is>
          <t>kW/s</t>
        </is>
      </c>
      <c r="I11" s="10" t="inlineStr">
        <is>
          <t>Broad (default inverter functions; dispatch design)</t>
        </is>
      </c>
      <c r="J11" s="10" t="inlineStr">
        <is>
          <t>Engineering avoided cost</t>
        </is>
      </c>
      <c r="K11" s="10" t="inlineStr">
        <is>
          <t>Cost of alternative mitigation</t>
        </is>
      </c>
      <c r="L11" s="10" t="inlineStr">
        <is>
          <t>Interconnection requirement; dispatch staggering rules</t>
        </is>
      </c>
      <c r="M11" s="10" t="inlineStr">
        <is>
          <t>LIP G8</t>
        </is>
      </c>
    </row>
    <row r="12" ht="39" customHeight="1">
      <c r="A12" s="9" t="inlineStr">
        <is>
          <t>V2</t>
        </is>
      </c>
      <c r="B12" s="9" t="inlineStr">
        <is>
          <t>Steady-state voltage regulation</t>
        </is>
      </c>
      <c r="C12" s="10" t="inlineStr">
        <is>
          <t>Hold voltage within limits over minutes to hours through grid-following reactive power (Volt-VAR, power factor) and CVR.</t>
        </is>
      </c>
      <c r="D12" s="10" t="inlineStr">
        <is>
          <t>High on high-DER and long feeders</t>
        </is>
      </c>
      <c r="E12" s="10" t="inlineStr">
        <is>
          <t>Planning and operational</t>
        </is>
      </c>
      <c r="F12" s="10" t="inlineStr">
        <is>
          <t>Continuous</t>
        </is>
      </c>
      <c r="G12" s="10" t="inlineStr">
        <is>
          <t>Feeder segment</t>
        </is>
      </c>
      <c r="H12" s="10" t="inlineStr">
        <is>
          <t>kVAR and voltage change at the problem location (dV/dQ)</t>
        </is>
      </c>
      <c r="I12" s="10" t="inlineStr">
        <is>
          <t>Broad installed base (solar and battery inverters)</t>
        </is>
      </c>
      <c r="J12" s="10" t="inlineStr">
        <is>
          <t>Engineering avoided cost; shadow price (voltage term)</t>
        </is>
      </c>
      <c r="K12" s="10" t="inlineStr">
        <is>
          <t>Cost of regulators, capacitor banks, voltage-driven reconductoring</t>
        </is>
      </c>
      <c r="L12" s="10" t="inlineStr">
        <is>
          <t>Interconnection default; paid incremental via DERMS setpoints</t>
        </is>
      </c>
      <c r="M12" s="10" t="inlineStr">
        <is>
          <t>Dx Paradigms (voltage term)</t>
        </is>
      </c>
    </row>
    <row r="13" ht="39" customHeight="1">
      <c r="A13" s="9" t="inlineStr">
        <is>
          <t>V3</t>
        </is>
      </c>
      <c r="B13" s="9" t="inlineStr">
        <is>
          <t>Grid-forming, dynamic at the PCC</t>
        </is>
      </c>
      <c r="C13" s="10" t="inlineStr">
        <is>
          <t>The asset sets voltage and frequency and responds within cycles to conditions at its own point of common coupling.</t>
        </is>
      </c>
      <c r="D13" s="10" t="inlineStr">
        <is>
          <t>Emerging</t>
        </is>
      </c>
      <c r="E13" s="10" t="inlineStr">
        <is>
          <t>Planning</t>
        </is>
      </c>
      <c r="F13" s="10" t="inlineStr">
        <is>
          <t>Sub-cycle to seconds</t>
        </is>
      </c>
      <c r="G13" s="10" t="inlineStr">
        <is>
          <t>PCC</t>
        </is>
      </c>
      <c r="H13" s="10" t="inlineStr">
        <is>
          <t>Response time; fault-current contribution; kVA headroom</t>
        </is>
      </c>
      <c r="I13" s="10" t="inlineStr">
        <is>
          <t>Very thin (emerging capability)</t>
        </is>
      </c>
      <c r="J13" s="10" t="inlineStr">
        <is>
          <t>Engineering avoided cost</t>
        </is>
      </c>
      <c r="K13" s="10" t="inlineStr">
        <is>
          <t>Cost of alternative devices</t>
        </is>
      </c>
      <c r="L13" s="10" t="inlineStr">
        <is>
          <t>Interconnection standard; targeted contract</t>
        </is>
      </c>
      <c r="M13" s="10" t="inlineStr">
        <is>
          <t>None yet</t>
        </is>
      </c>
    </row>
    <row r="14" ht="26" customHeight="1">
      <c r="A14" s="9" t="inlineStr">
        <is>
          <t>V4</t>
        </is>
      </c>
      <c r="B14" s="9" t="inlineStr">
        <is>
          <t>Grid-forming on broader grid signals</t>
        </is>
      </c>
      <c r="C14" s="10" t="inlineStr">
        <is>
          <t>Grid-forming behavior whose references are adjusted from signals beyond the PCC, asset by asset.</t>
        </is>
      </c>
      <c r="D14" s="10" t="inlineStr">
        <is>
          <t>Emerging</t>
        </is>
      </c>
      <c r="E14" s="10" t="inlineStr">
        <is>
          <t>Planning and operational</t>
        </is>
      </c>
      <c r="F14" s="10" t="inlineStr">
        <is>
          <t>Seconds to minutes</t>
        </is>
      </c>
      <c r="G14" s="10" t="inlineStr">
        <is>
          <t>Feeder and beyond</t>
        </is>
      </c>
      <c r="H14" s="10" t="inlineStr">
        <is>
          <t>As V3, plus telemetry latency</t>
        </is>
      </c>
      <c r="I14" s="10" t="inlineStr">
        <is>
          <t>Very thin</t>
        </is>
      </c>
      <c r="J14" s="10" t="inlineStr">
        <is>
          <t>Engineering avoided cost; shadow price</t>
        </is>
      </c>
      <c r="K14" s="10" t="inlineStr">
        <is>
          <t>Cost of alternative devices plus control systems</t>
        </is>
      </c>
      <c r="L14" s="10" t="inlineStr">
        <is>
          <t>Bilateral or pilot</t>
        </is>
      </c>
      <c r="M14" s="10" t="inlineStr">
        <is>
          <t>DR dispatch coordination</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L17"/>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10" defaultColWidth="8.6640625" defaultRowHeight="15"/>
  <cols>
    <col width="6" customWidth="1" min="1" max="1"/>
    <col width="30" customWidth="1" min="2" max="2"/>
    <col width="14" customWidth="1" min="3" max="12"/>
  </cols>
  <sheetData>
    <row r="1" ht="17" customHeight="1">
      <c r="A1" s="2" t="inlineStr">
        <is>
          <t>Coverage: what existing work answers for each need × question</t>
        </is>
      </c>
    </row>
    <row r="2">
      <c r="A2" s="3" t="inlineStr">
        <is>
          <t>Question definitions are on the Flex - Questions sheet (hover a header for the full text). Tags: Answered, Partial, Gap, Design, Policy (legend on the Questions sheet).</t>
        </is>
      </c>
    </row>
    <row r="3">
      <c r="A3" s="26" t="n"/>
      <c r="B3" s="26" t="inlineStr">
        <is>
          <t>Layer →</t>
        </is>
      </c>
      <c r="C3" s="26" t="inlineStr">
        <is>
          <t>Value</t>
        </is>
      </c>
      <c r="D3" s="26" t="inlineStr">
        <is>
          <t>Value</t>
        </is>
      </c>
      <c r="E3" s="26" t="inlineStr">
        <is>
          <t>Mechanism</t>
        </is>
      </c>
      <c r="F3" s="26" t="inlineStr">
        <is>
          <t>Value</t>
        </is>
      </c>
      <c r="G3" s="26" t="inlineStr">
        <is>
          <t>Cost</t>
        </is>
      </c>
      <c r="H3" s="26" t="inlineStr">
        <is>
          <t>Mechanism</t>
        </is>
      </c>
      <c r="I3" s="26" t="inlineStr">
        <is>
          <t>Mechanism</t>
        </is>
      </c>
      <c r="J3" s="26" t="inlineStr">
        <is>
          <t>Value</t>
        </is>
      </c>
      <c r="K3" s="26" t="inlineStr">
        <is>
          <t>Mechanism</t>
        </is>
      </c>
      <c r="L3" s="26" t="inlineStr">
        <is>
          <t>Mechanism</t>
        </is>
      </c>
    </row>
    <row r="4" ht="45" customHeight="1">
      <c r="A4" s="8" t="inlineStr">
        <is>
          <t>ID</t>
        </is>
      </c>
      <c r="B4" s="8" t="inlineStr">
        <is>
          <t>Need</t>
        </is>
      </c>
      <c r="C4" s="8" t="inlineStr">
        <is>
          <t>Q1 Benefits</t>
        </is>
      </c>
      <c r="D4" s="8" t="inlineStr">
        <is>
          <t>Q2 Avoided costs</t>
        </is>
      </c>
      <c r="E4" s="8" t="inlineStr">
        <is>
          <t>Q3 Benefit sharing</t>
        </is>
      </c>
      <c r="F4" s="8" t="inlineStr">
        <is>
          <t>Q4 Real-time and forward value</t>
        </is>
      </c>
      <c r="G4" s="8" t="inlineStr">
        <is>
          <t>Q5 Fully loaded cost</t>
        </is>
      </c>
      <c r="H4" s="8" t="inlineStr">
        <is>
          <t>Q6 Dispatch rule and threshold</t>
        </is>
      </c>
      <c r="I4" s="8" t="inlineStr">
        <is>
          <t>Q7 Procurement mechanism</t>
        </is>
      </c>
      <c r="J4" s="8" t="inlineStr">
        <is>
          <t>Q8 Max willingness to pay</t>
        </is>
      </c>
      <c r="K4" s="8" t="inlineStr">
        <is>
          <t>Q9 Bid evaluation</t>
        </is>
      </c>
      <c r="L4" s="8" t="inlineStr">
        <is>
          <t>Q10 Pathway interaction</t>
        </is>
      </c>
    </row>
    <row r="5">
      <c r="A5" s="27" t="inlineStr">
        <is>
          <t>N1</t>
        </is>
      </c>
      <c r="B5" s="27" t="inlineStr">
        <is>
          <t>System RA</t>
        </is>
      </c>
      <c r="C5" s="28" t="inlineStr">
        <is>
          <t>Answered</t>
        </is>
      </c>
      <c r="D5" s="28" t="inlineStr">
        <is>
          <t>Answered</t>
        </is>
      </c>
      <c r="E5" s="29" t="inlineStr">
        <is>
          <t>Policy</t>
        </is>
      </c>
      <c r="F5" s="30" t="inlineStr">
        <is>
          <t>Partial</t>
        </is>
      </c>
      <c r="G5" s="31" t="inlineStr">
        <is>
          <t>Gap</t>
        </is>
      </c>
      <c r="H5" s="30" t="inlineStr">
        <is>
          <t>Partial</t>
        </is>
      </c>
      <c r="I5" s="28" t="inlineStr">
        <is>
          <t>Answered</t>
        </is>
      </c>
      <c r="J5" s="30" t="inlineStr">
        <is>
          <t>Partial</t>
        </is>
      </c>
      <c r="K5" s="30" t="inlineStr">
        <is>
          <t>Partial</t>
        </is>
      </c>
      <c r="L5" s="28" t="inlineStr">
        <is>
          <t>Answered</t>
        </is>
      </c>
    </row>
    <row r="6">
      <c r="A6" s="27" t="inlineStr">
        <is>
          <t>N2</t>
        </is>
      </c>
      <c r="B6" s="27" t="inlineStr">
        <is>
          <t>Local RA / LCR</t>
        </is>
      </c>
      <c r="C6" s="28" t="inlineStr">
        <is>
          <t>Answered</t>
        </is>
      </c>
      <c r="D6" s="28" t="inlineStr">
        <is>
          <t>Answered</t>
        </is>
      </c>
      <c r="E6" s="29" t="inlineStr">
        <is>
          <t>Policy</t>
        </is>
      </c>
      <c r="F6" s="30" t="inlineStr">
        <is>
          <t>Partial</t>
        </is>
      </c>
      <c r="G6" s="31" t="inlineStr">
        <is>
          <t>Gap</t>
        </is>
      </c>
      <c r="H6" s="30" t="inlineStr">
        <is>
          <t>Partial</t>
        </is>
      </c>
      <c r="I6" s="28" t="inlineStr">
        <is>
          <t>Answered</t>
        </is>
      </c>
      <c r="J6" s="30" t="inlineStr">
        <is>
          <t>Partial</t>
        </is>
      </c>
      <c r="K6" s="30" t="inlineStr">
        <is>
          <t>Partial</t>
        </is>
      </c>
      <c r="L6" s="30" t="inlineStr">
        <is>
          <t>Partial</t>
        </is>
      </c>
    </row>
    <row r="7">
      <c r="A7" s="27" t="inlineStr">
        <is>
          <t>N3</t>
        </is>
      </c>
      <c r="B7" s="27" t="inlineStr">
        <is>
          <t>Energy and ancillary</t>
        </is>
      </c>
      <c r="C7" s="28" t="inlineStr">
        <is>
          <t>Answered</t>
        </is>
      </c>
      <c r="D7" s="28" t="inlineStr">
        <is>
          <t>Answered</t>
        </is>
      </c>
      <c r="E7" s="29" t="inlineStr">
        <is>
          <t>Policy</t>
        </is>
      </c>
      <c r="F7" s="28" t="inlineStr">
        <is>
          <t>Answered</t>
        </is>
      </c>
      <c r="G7" s="31" t="inlineStr">
        <is>
          <t>Gap</t>
        </is>
      </c>
      <c r="H7" s="28" t="inlineStr">
        <is>
          <t>Answered</t>
        </is>
      </c>
      <c r="I7" s="28" t="inlineStr">
        <is>
          <t>Answered</t>
        </is>
      </c>
      <c r="J7" s="28" t="inlineStr">
        <is>
          <t>Answered</t>
        </is>
      </c>
      <c r="K7" s="28" t="inlineStr">
        <is>
          <t>Answered</t>
        </is>
      </c>
      <c r="L7" s="30" t="inlineStr">
        <is>
          <t>Partial</t>
        </is>
      </c>
    </row>
    <row r="8">
      <c r="A8" s="27" t="inlineStr">
        <is>
          <t>N4</t>
        </is>
      </c>
      <c r="B8" s="27" t="inlineStr">
        <is>
          <t>Distribution deferral</t>
        </is>
      </c>
      <c r="C8" s="28" t="inlineStr">
        <is>
          <t>Answered</t>
        </is>
      </c>
      <c r="D8" s="30" t="inlineStr">
        <is>
          <t>Partial</t>
        </is>
      </c>
      <c r="E8" s="32" t="inlineStr">
        <is>
          <t>Design</t>
        </is>
      </c>
      <c r="F8" s="30" t="inlineStr">
        <is>
          <t>Partial</t>
        </is>
      </c>
      <c r="G8" s="31" t="inlineStr">
        <is>
          <t>Gap</t>
        </is>
      </c>
      <c r="H8" s="31" t="inlineStr">
        <is>
          <t>Gap</t>
        </is>
      </c>
      <c r="I8" s="30" t="inlineStr">
        <is>
          <t>Partial</t>
        </is>
      </c>
      <c r="J8" s="30" t="inlineStr">
        <is>
          <t>Partial</t>
        </is>
      </c>
      <c r="K8" s="31" t="inlineStr">
        <is>
          <t>Gap</t>
        </is>
      </c>
      <c r="L8" s="31" t="inlineStr">
        <is>
          <t>Gap</t>
        </is>
      </c>
    </row>
    <row r="9">
      <c r="A9" s="27" t="inlineStr">
        <is>
          <t>N5</t>
        </is>
      </c>
      <c r="B9" s="27" t="inlineStr">
        <is>
          <t>Bridge-to-wires</t>
        </is>
      </c>
      <c r="C9" s="28" t="inlineStr">
        <is>
          <t>Answered</t>
        </is>
      </c>
      <c r="D9" s="30" t="inlineStr">
        <is>
          <t>Partial</t>
        </is>
      </c>
      <c r="E9" s="32" t="inlineStr">
        <is>
          <t>Design</t>
        </is>
      </c>
      <c r="F9" s="31" t="inlineStr">
        <is>
          <t>Gap</t>
        </is>
      </c>
      <c r="G9" s="31" t="inlineStr">
        <is>
          <t>Gap</t>
        </is>
      </c>
      <c r="H9" s="31" t="inlineStr">
        <is>
          <t>Gap</t>
        </is>
      </c>
      <c r="I9" s="32" t="inlineStr">
        <is>
          <t>Design</t>
        </is>
      </c>
      <c r="J9" s="30" t="inlineStr">
        <is>
          <t>Partial</t>
        </is>
      </c>
      <c r="K9" s="31" t="inlineStr">
        <is>
          <t>Gap</t>
        </is>
      </c>
      <c r="L9" s="31" t="inlineStr">
        <is>
          <t>Gap</t>
        </is>
      </c>
    </row>
    <row r="10">
      <c r="A10" s="27" t="inlineStr">
        <is>
          <t>N6</t>
        </is>
      </c>
      <c r="B10" s="27" t="inlineStr">
        <is>
          <t>Speed-to-power</t>
        </is>
      </c>
      <c r="C10" s="30" t="inlineStr">
        <is>
          <t>Partial</t>
        </is>
      </c>
      <c r="D10" s="31" t="inlineStr">
        <is>
          <t>Gap</t>
        </is>
      </c>
      <c r="E10" s="29" t="inlineStr">
        <is>
          <t>Policy</t>
        </is>
      </c>
      <c r="F10" s="31" t="inlineStr">
        <is>
          <t>Gap</t>
        </is>
      </c>
      <c r="G10" s="31" t="inlineStr">
        <is>
          <t>Gap</t>
        </is>
      </c>
      <c r="H10" s="30" t="inlineStr">
        <is>
          <t>Partial</t>
        </is>
      </c>
      <c r="I10" s="32" t="inlineStr">
        <is>
          <t>Design</t>
        </is>
      </c>
      <c r="J10" s="31" t="inlineStr">
        <is>
          <t>Gap</t>
        </is>
      </c>
      <c r="K10" s="31" t="inlineStr">
        <is>
          <t>Gap</t>
        </is>
      </c>
      <c r="L10" s="31" t="inlineStr">
        <is>
          <t>Gap</t>
        </is>
      </c>
    </row>
    <row r="11">
      <c r="A11" s="27" t="inlineStr">
        <is>
          <t>N7</t>
        </is>
      </c>
      <c r="B11" s="27" t="inlineStr">
        <is>
          <t>Real-time distribution congestion</t>
        </is>
      </c>
      <c r="C11" s="30" t="inlineStr">
        <is>
          <t>Partial</t>
        </is>
      </c>
      <c r="D11" s="30" t="inlineStr">
        <is>
          <t>Partial</t>
        </is>
      </c>
      <c r="E11" s="32" t="inlineStr">
        <is>
          <t>Design</t>
        </is>
      </c>
      <c r="F11" s="31" t="inlineStr">
        <is>
          <t>Gap</t>
        </is>
      </c>
      <c r="G11" s="31" t="inlineStr">
        <is>
          <t>Gap</t>
        </is>
      </c>
      <c r="H11" s="31" t="inlineStr">
        <is>
          <t>Gap</t>
        </is>
      </c>
      <c r="I11" s="32" t="inlineStr">
        <is>
          <t>Design</t>
        </is>
      </c>
      <c r="J11" s="31" t="inlineStr">
        <is>
          <t>Gap</t>
        </is>
      </c>
      <c r="K11" s="32" t="inlineStr">
        <is>
          <t>Design</t>
        </is>
      </c>
      <c r="L11" s="31" t="inlineStr">
        <is>
          <t>Gap</t>
        </is>
      </c>
    </row>
    <row r="12">
      <c r="A12" s="27" t="inlineStr">
        <is>
          <t>V1</t>
        </is>
      </c>
      <c r="B12" s="27" t="inlineStr">
        <is>
          <t>Ramp rate</t>
        </is>
      </c>
      <c r="C12" s="30" t="inlineStr">
        <is>
          <t>Partial</t>
        </is>
      </c>
      <c r="D12" s="31" t="inlineStr">
        <is>
          <t>Gap</t>
        </is>
      </c>
      <c r="E12" s="29" t="inlineStr">
        <is>
          <t>Policy</t>
        </is>
      </c>
      <c r="F12" s="31" t="inlineStr">
        <is>
          <t>Gap</t>
        </is>
      </c>
      <c r="G12" s="31" t="inlineStr">
        <is>
          <t>Gap</t>
        </is>
      </c>
      <c r="H12" s="32" t="inlineStr">
        <is>
          <t>Design</t>
        </is>
      </c>
      <c r="I12" s="32" t="inlineStr">
        <is>
          <t>Design</t>
        </is>
      </c>
      <c r="J12" s="31" t="inlineStr">
        <is>
          <t>Gap</t>
        </is>
      </c>
      <c r="K12" s="32" t="inlineStr">
        <is>
          <t>Design</t>
        </is>
      </c>
      <c r="L12" s="31" t="inlineStr">
        <is>
          <t>Gap</t>
        </is>
      </c>
    </row>
    <row r="13">
      <c r="A13" s="27" t="inlineStr">
        <is>
          <t>V2</t>
        </is>
      </c>
      <c r="B13" s="27" t="inlineStr">
        <is>
          <t>Steady-state voltage regulation</t>
        </is>
      </c>
      <c r="C13" s="30" t="inlineStr">
        <is>
          <t>Partial</t>
        </is>
      </c>
      <c r="D13" s="30" t="inlineStr">
        <is>
          <t>Partial</t>
        </is>
      </c>
      <c r="E13" s="29" t="inlineStr">
        <is>
          <t>Policy</t>
        </is>
      </c>
      <c r="F13" s="31" t="inlineStr">
        <is>
          <t>Gap</t>
        </is>
      </c>
      <c r="G13" s="31" t="inlineStr">
        <is>
          <t>Gap</t>
        </is>
      </c>
      <c r="H13" s="32" t="inlineStr">
        <is>
          <t>Design</t>
        </is>
      </c>
      <c r="I13" s="32" t="inlineStr">
        <is>
          <t>Design</t>
        </is>
      </c>
      <c r="J13" s="30" t="inlineStr">
        <is>
          <t>Partial</t>
        </is>
      </c>
      <c r="K13" s="31" t="inlineStr">
        <is>
          <t>Gap</t>
        </is>
      </c>
      <c r="L13" s="31" t="inlineStr">
        <is>
          <t>Gap</t>
        </is>
      </c>
    </row>
    <row r="14">
      <c r="A14" s="27" t="inlineStr">
        <is>
          <t>V3</t>
        </is>
      </c>
      <c r="B14" s="27" t="inlineStr">
        <is>
          <t>Grid-forming, dynamic at the PCC</t>
        </is>
      </c>
      <c r="C14" s="31" t="inlineStr">
        <is>
          <t>Gap</t>
        </is>
      </c>
      <c r="D14" s="31" t="inlineStr">
        <is>
          <t>Gap</t>
        </is>
      </c>
      <c r="E14" s="29" t="inlineStr">
        <is>
          <t>Policy</t>
        </is>
      </c>
      <c r="F14" s="31" t="inlineStr">
        <is>
          <t>Gap</t>
        </is>
      </c>
      <c r="G14" s="31" t="inlineStr">
        <is>
          <t>Gap</t>
        </is>
      </c>
      <c r="H14" s="32" t="inlineStr">
        <is>
          <t>Design</t>
        </is>
      </c>
      <c r="I14" s="32" t="inlineStr">
        <is>
          <t>Design</t>
        </is>
      </c>
      <c r="J14" s="31" t="inlineStr">
        <is>
          <t>Gap</t>
        </is>
      </c>
      <c r="K14" s="31" t="inlineStr">
        <is>
          <t>Gap</t>
        </is>
      </c>
      <c r="L14" s="31" t="inlineStr">
        <is>
          <t>Gap</t>
        </is>
      </c>
    </row>
    <row r="15">
      <c r="A15" s="27" t="inlineStr">
        <is>
          <t>V4</t>
        </is>
      </c>
      <c r="B15" s="27" t="inlineStr">
        <is>
          <t>Grid-forming on broader grid signals</t>
        </is>
      </c>
      <c r="C15" s="31" t="inlineStr">
        <is>
          <t>Gap</t>
        </is>
      </c>
      <c r="D15" s="31" t="inlineStr">
        <is>
          <t>Gap</t>
        </is>
      </c>
      <c r="E15" s="29" t="inlineStr">
        <is>
          <t>Policy</t>
        </is>
      </c>
      <c r="F15" s="31" t="inlineStr">
        <is>
          <t>Gap</t>
        </is>
      </c>
      <c r="G15" s="31" t="inlineStr">
        <is>
          <t>Gap</t>
        </is>
      </c>
      <c r="H15" s="31" t="inlineStr">
        <is>
          <t>Gap</t>
        </is>
      </c>
      <c r="I15" s="32" t="inlineStr">
        <is>
          <t>Design</t>
        </is>
      </c>
      <c r="J15" s="31" t="inlineStr">
        <is>
          <t>Gap</t>
        </is>
      </c>
      <c r="K15" s="31" t="inlineStr">
        <is>
          <t>Gap</t>
        </is>
      </c>
      <c r="L15" s="31" t="inlineStr">
        <is>
          <t>Gap</t>
        </is>
      </c>
    </row>
    <row r="17">
      <c r="A17" s="33" t="n"/>
      <c r="B17" s="33" t="inlineStr">
        <is>
          <t>Gaps per question</t>
        </is>
      </c>
      <c r="C17" s="33">
        <f>COUNTIF(C5:C15,"Gap")</f>
        <v/>
      </c>
      <c r="D17" s="33">
        <f>COUNTIF(D5:D15,"Gap")</f>
        <v/>
      </c>
      <c r="E17" s="33">
        <f>COUNTIF(E5:E15,"Gap")</f>
        <v/>
      </c>
      <c r="F17" s="33">
        <f>COUNTIF(F5:F15,"Gap")</f>
        <v/>
      </c>
      <c r="G17" s="33">
        <f>COUNTIF(G5:G15,"Gap")</f>
        <v/>
      </c>
      <c r="H17" s="33">
        <f>COUNTIF(H5:H15,"Gap")</f>
        <v/>
      </c>
      <c r="I17" s="33">
        <f>COUNTIF(I5:I15,"Gap")</f>
        <v/>
      </c>
      <c r="J17" s="33">
        <f>COUNTIF(J5:J15,"Gap")</f>
        <v/>
      </c>
      <c r="K17" s="33">
        <f>COUNTIF(K5:K15,"Gap")</f>
        <v/>
      </c>
      <c r="L17" s="33">
        <f>COUNTIF(L5:L15,"Gap")</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113"/>
  <sheetViews>
    <sheetView zoomScale="160" zoomScaleNormal="100" workbookViewId="0">
      <pane ySplit="3" topLeftCell="A4" activePane="bottomLeft" state="frozen"/>
      <selection pane="bottomLeft" activeCell="A1" sqref="A1"/>
    </sheetView>
  </sheetViews>
  <sheetFormatPr baseColWidth="10" defaultColWidth="8.6640625" defaultRowHeight="15"/>
  <cols>
    <col width="6" customWidth="1" min="1" max="1"/>
    <col width="28" customWidth="1" min="2" max="2"/>
    <col width="26" customWidth="1" min="3" max="3"/>
    <col width="50" customWidth="1" min="4" max="4"/>
    <col width="12" customWidth="1" min="5" max="5"/>
    <col width="11" customWidth="1" min="6" max="6"/>
    <col width="70" customWidth="1" min="7" max="7"/>
  </cols>
  <sheetData>
    <row r="1" ht="17" customHeight="1">
      <c r="A1" s="2" t="inlineStr">
        <is>
          <t>Coverage detail: one row per need × question</t>
        </is>
      </c>
    </row>
    <row r="2">
      <c r="A2" s="3" t="inlineStr">
        <is>
          <t>Filter by Tag to list gaps, design choices or policy questions.</t>
        </is>
      </c>
    </row>
    <row r="3">
      <c r="A3" s="8" t="inlineStr">
        <is>
          <t>ID</t>
        </is>
      </c>
      <c r="B3" s="8" t="inlineStr">
        <is>
          <t>Need</t>
        </is>
      </c>
      <c r="C3" s="8" t="inlineStr">
        <is>
          <t>Question</t>
        </is>
      </c>
      <c r="D3" s="8" t="inlineStr">
        <is>
          <t>Question text</t>
        </is>
      </c>
      <c r="E3" s="8" t="inlineStr">
        <is>
          <t>Layer</t>
        </is>
      </c>
      <c r="F3" s="8" t="inlineStr">
        <is>
          <t>Tag</t>
        </is>
      </c>
      <c r="G3" s="8" t="inlineStr">
        <is>
          <t>Note</t>
        </is>
      </c>
    </row>
    <row r="4">
      <c r="A4" s="9" t="inlineStr">
        <is>
          <t>N1</t>
        </is>
      </c>
      <c r="B4" s="9" t="inlineStr">
        <is>
          <t>System RA</t>
        </is>
      </c>
      <c r="C4" s="10" t="inlineStr">
        <is>
          <t>Q1 Benefits</t>
        </is>
      </c>
      <c r="D4" s="10" t="inlineStr">
        <is>
          <t>What benefits are created by use case?</t>
        </is>
      </c>
      <c r="E4" s="10" t="inlineStr">
        <is>
          <t>Value</t>
        </is>
      </c>
      <c r="F4" s="34" t="inlineStr">
        <is>
          <t>Answered</t>
        </is>
      </c>
      <c r="G4" s="10" t="inlineStr">
        <is>
          <t>Capacity value via ACC generation capacity and the CE A–G factors.</t>
        </is>
      </c>
    </row>
    <row r="5">
      <c r="A5" s="9" t="inlineStr">
        <is>
          <t>N1</t>
        </is>
      </c>
      <c r="B5" s="9" t="inlineStr">
        <is>
          <t>System RA</t>
        </is>
      </c>
      <c r="C5" s="10" t="inlineStr">
        <is>
          <t>Q2 Avoided costs</t>
        </is>
      </c>
      <c r="D5" s="10" t="inlineStr">
        <is>
          <t>What avoided infrastructure and operational costs can be quantified?</t>
        </is>
      </c>
      <c r="E5" s="10" t="inlineStr">
        <is>
          <t>Value</t>
        </is>
      </c>
      <c r="F5" s="34" t="inlineStr">
        <is>
          <t>Answered</t>
        </is>
      </c>
      <c r="G5" s="10" t="inlineStr">
        <is>
          <t>Avoided RA procurement at RA market price.</t>
        </is>
      </c>
    </row>
    <row r="6" ht="26" customHeight="1">
      <c r="A6" s="9" t="inlineStr">
        <is>
          <t>N1</t>
        </is>
      </c>
      <c r="B6" s="9" t="inlineStr">
        <is>
          <t>System RA</t>
        </is>
      </c>
      <c r="C6" s="10" t="inlineStr">
        <is>
          <t>Q3 Benefit sharing</t>
        </is>
      </c>
      <c r="D6" s="10" t="inlineStr">
        <is>
          <t>How should benefits and incentives be shared amongst PG&amp;E, aggregators, and customers?</t>
        </is>
      </c>
      <c r="E6" s="10" t="inlineStr">
        <is>
          <t>Mechanism</t>
        </is>
      </c>
      <c r="F6" s="35" t="inlineStr">
        <is>
          <t>Policy</t>
        </is>
      </c>
      <c r="G6" s="10" t="inlineStr">
        <is>
          <t>Split between program incentive, aggregator and ratepayer; CE tests (PAC, RIM) define the ratepayer side.</t>
        </is>
      </c>
    </row>
    <row r="7" ht="26" customHeight="1">
      <c r="A7" s="9" t="inlineStr">
        <is>
          <t>N1</t>
        </is>
      </c>
      <c r="B7" s="9" t="inlineStr">
        <is>
          <t>System RA</t>
        </is>
      </c>
      <c r="C7" s="10" t="inlineStr">
        <is>
          <t>Q4 Real-time and forward value</t>
        </is>
      </c>
      <c r="D7" s="10" t="inlineStr">
        <is>
          <t>How do we determine the real-time and forward-looking value of flexibility across all grid needs?</t>
        </is>
      </c>
      <c r="E7" s="10" t="inlineStr">
        <is>
          <t>Value</t>
        </is>
      </c>
      <c r="F7" s="36" t="inlineStr">
        <is>
          <t>Partial</t>
        </is>
      </c>
      <c r="G7" s="10" t="inlineStr">
        <is>
          <t>Forward value = RA market price; real-time = CAISO energy. Quantity via LIPs, but window misalignment ahead (G2, D.26-07-008).</t>
        </is>
      </c>
    </row>
    <row r="8" ht="39" customHeight="1">
      <c r="A8" s="9" t="inlineStr">
        <is>
          <t>N1</t>
        </is>
      </c>
      <c r="B8" s="9" t="inlineStr">
        <is>
          <t>System RA</t>
        </is>
      </c>
      <c r="C8" s="10" t="inlineStr">
        <is>
          <t>Q5 Fully loaded cost</t>
        </is>
      </c>
      <c r="D8" s="10" t="inlineStr">
        <is>
          <t>How can we accurately calculate the fully loaded cost of each flex resource? What costs should be included beyond incentives? How do these costs vary by technology?</t>
        </is>
      </c>
      <c r="E8" s="10" t="inlineStr">
        <is>
          <t>Cost</t>
        </is>
      </c>
      <c r="F8" s="37" t="inlineStr">
        <is>
          <t>Gap</t>
        </is>
      </c>
      <c r="G8" s="10" t="inlineStr">
        <is>
          <t>No fully loaded cost by technology.</t>
        </is>
      </c>
    </row>
    <row r="9" ht="78" customHeight="1">
      <c r="A9" s="9" t="inlineStr">
        <is>
          <t>N1</t>
        </is>
      </c>
      <c r="B9" s="9" t="inlineStr">
        <is>
          <t>System RA</t>
        </is>
      </c>
      <c r="C9" s="10" t="inlineStr">
        <is>
          <t>Q6 Dispatch rule and threshold</t>
        </is>
      </c>
      <c r="D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9" s="10" t="inlineStr">
        <is>
          <t>Mechanism</t>
        </is>
      </c>
      <c r="F9" s="36" t="inlineStr">
        <is>
          <t>Partial</t>
        </is>
      </c>
      <c r="G9" s="10" t="inlineStr">
        <is>
          <t>CAISO bids drive dispatch; a per-dispatch RIM threshold is untested.</t>
        </is>
      </c>
    </row>
    <row r="10" ht="39" customHeight="1">
      <c r="A10" s="9" t="inlineStr">
        <is>
          <t>N1</t>
        </is>
      </c>
      <c r="B10" s="9" t="inlineStr">
        <is>
          <t>System RA</t>
        </is>
      </c>
      <c r="C10" s="10" t="inlineStr">
        <is>
          <t>Q7 Procurement mechanism</t>
        </is>
      </c>
      <c r="D10" s="10" t="inlineStr">
        <is>
          <t>What procurement mechanism best matches each type of grid need: competitive solicitations, reverse auctions, fixed-price procurement, bilaterals, or tariff-based participation?</t>
        </is>
      </c>
      <c r="E10" s="10" t="inlineStr">
        <is>
          <t>Mechanism</t>
        </is>
      </c>
      <c r="F10" s="34" t="inlineStr">
        <is>
          <t>Answered</t>
        </is>
      </c>
      <c r="G10" s="10" t="inlineStr">
        <is>
          <t>DR programs, tariffs, bilateral RA.</t>
        </is>
      </c>
    </row>
    <row r="11" ht="26" customHeight="1">
      <c r="A11" s="9" t="inlineStr">
        <is>
          <t>N1</t>
        </is>
      </c>
      <c r="B11" s="9" t="inlineStr">
        <is>
          <t>System RA</t>
        </is>
      </c>
      <c r="C11" s="10" t="inlineStr">
        <is>
          <t>Q8 Max willingness to pay</t>
        </is>
      </c>
      <c r="D11" s="10" t="inlineStr">
        <is>
          <t>How should PG&amp;E determine the maximum amount it is willing to pay for flexibility?</t>
        </is>
      </c>
      <c r="E11" s="10" t="inlineStr">
        <is>
          <t>Value</t>
        </is>
      </c>
      <c r="F11" s="36" t="inlineStr">
        <is>
          <t>Partial</t>
        </is>
      </c>
      <c r="G11" s="10" t="inlineStr">
        <is>
          <t>Anchor on the RA market price, adjusted to effective kW (LIP G4–G6, A–G factors).</t>
        </is>
      </c>
    </row>
    <row r="12" ht="26" customHeight="1">
      <c r="A12" s="9" t="inlineStr">
        <is>
          <t>N1</t>
        </is>
      </c>
      <c r="B12" s="9" t="inlineStr">
        <is>
          <t>System RA</t>
        </is>
      </c>
      <c r="C12" s="10" t="inlineStr">
        <is>
          <t>Q9 Bid evaluation</t>
        </is>
      </c>
      <c r="D12" s="10" t="inlineStr">
        <is>
          <t>How should bids be evaluated and selected when multiple providers can solve the same grid need?</t>
        </is>
      </c>
      <c r="E12" s="10" t="inlineStr">
        <is>
          <t>Mechanism</t>
        </is>
      </c>
      <c r="F12" s="36" t="inlineStr">
        <is>
          <t>Partial</t>
        </is>
      </c>
      <c r="G12" s="10" t="inlineStr">
        <is>
          <t>$/QC kW today; export treatment unresolved (RA #1).</t>
        </is>
      </c>
    </row>
    <row r="13" ht="26" customHeight="1">
      <c r="A13" s="9" t="inlineStr">
        <is>
          <t>N1</t>
        </is>
      </c>
      <c r="B13" s="9" t="inlineStr">
        <is>
          <t>System RA</t>
        </is>
      </c>
      <c r="C13" s="10" t="inlineStr">
        <is>
          <t>Q10 Pathway interaction</t>
        </is>
      </c>
      <c r="D13" s="10" t="inlineStr">
        <is>
          <t>How should flexibility procurement interact with other participation pathways?</t>
        </is>
      </c>
      <c r="E13" s="10" t="inlineStr">
        <is>
          <t>Mechanism</t>
        </is>
      </c>
      <c r="F13" s="34" t="inlineStr">
        <is>
          <t>Answered</t>
        </is>
      </c>
      <c r="G13" s="10" t="inlineStr">
        <is>
          <t>RA sheet issues 2, 5, 7; DDEMI Track 1.</t>
        </is>
      </c>
    </row>
    <row r="14">
      <c r="A14" s="9" t="inlineStr">
        <is>
          <t>N2</t>
        </is>
      </c>
      <c r="B14" s="9" t="inlineStr">
        <is>
          <t>Local RA / LCR</t>
        </is>
      </c>
      <c r="C14" s="10" t="inlineStr">
        <is>
          <t>Q1 Benefits</t>
        </is>
      </c>
      <c r="D14" s="10" t="inlineStr">
        <is>
          <t>What benefits are created by use case?</t>
        </is>
      </c>
      <c r="E14" s="10" t="inlineStr">
        <is>
          <t>Value</t>
        </is>
      </c>
      <c r="F14" s="34" t="inlineStr">
        <is>
          <t>Answered</t>
        </is>
      </c>
      <c r="G14" s="10" t="inlineStr">
        <is>
          <t>Local capacity value through central procurement.</t>
        </is>
      </c>
    </row>
    <row r="15">
      <c r="A15" s="9" t="inlineStr">
        <is>
          <t>N2</t>
        </is>
      </c>
      <c r="B15" s="9" t="inlineStr">
        <is>
          <t>Local RA / LCR</t>
        </is>
      </c>
      <c r="C15" s="10" t="inlineStr">
        <is>
          <t>Q2 Avoided costs</t>
        </is>
      </c>
      <c r="D15" s="10" t="inlineStr">
        <is>
          <t>What avoided infrastructure and operational costs can be quantified?</t>
        </is>
      </c>
      <c r="E15" s="10" t="inlineStr">
        <is>
          <t>Value</t>
        </is>
      </c>
      <c r="F15" s="34" t="inlineStr">
        <is>
          <t>Answered</t>
        </is>
      </c>
      <c r="G15" s="10" t="inlineStr">
        <is>
          <t>Avoided local RA premium.</t>
        </is>
      </c>
    </row>
    <row r="16" ht="26" customHeight="1">
      <c r="A16" s="9" t="inlineStr">
        <is>
          <t>N2</t>
        </is>
      </c>
      <c r="B16" s="9" t="inlineStr">
        <is>
          <t>Local RA / LCR</t>
        </is>
      </c>
      <c r="C16" s="10" t="inlineStr">
        <is>
          <t>Q3 Benefit sharing</t>
        </is>
      </c>
      <c r="D16" s="10" t="inlineStr">
        <is>
          <t>How should benefits and incentives be shared amongst PG&amp;E, aggregators, and customers?</t>
        </is>
      </c>
      <c r="E16" s="10" t="inlineStr">
        <is>
          <t>Mechanism</t>
        </is>
      </c>
      <c r="F16" s="35" t="inlineStr">
        <is>
          <t>Policy</t>
        </is>
      </c>
      <c r="G16" s="10" t="inlineStr">
        <is>
          <t>LCR RCM sets compensation for shown resources (D.20-12-006).</t>
        </is>
      </c>
    </row>
    <row r="17" ht="26" customHeight="1">
      <c r="A17" s="9" t="inlineStr">
        <is>
          <t>N2</t>
        </is>
      </c>
      <c r="B17" s="9" t="inlineStr">
        <is>
          <t>Local RA / LCR</t>
        </is>
      </c>
      <c r="C17" s="10" t="inlineStr">
        <is>
          <t>Q4 Real-time and forward value</t>
        </is>
      </c>
      <c r="D17" s="10" t="inlineStr">
        <is>
          <t>How do we determine the real-time and forward-looking value of flexibility across all grid needs?</t>
        </is>
      </c>
      <c r="E17" s="10" t="inlineStr">
        <is>
          <t>Value</t>
        </is>
      </c>
      <c r="F17" s="36" t="inlineStr">
        <is>
          <t>Partial</t>
        </is>
      </c>
      <c r="G17" s="10" t="inlineStr">
        <is>
          <t>Forward = central procurement prices and effectiveness; LIP locational output is August sub-LAP only (G1).</t>
        </is>
      </c>
    </row>
    <row r="18" ht="39" customHeight="1">
      <c r="A18" s="9" t="inlineStr">
        <is>
          <t>N2</t>
        </is>
      </c>
      <c r="B18" s="9" t="inlineStr">
        <is>
          <t>Local RA / LCR</t>
        </is>
      </c>
      <c r="C18" s="10" t="inlineStr">
        <is>
          <t>Q5 Fully loaded cost</t>
        </is>
      </c>
      <c r="D18" s="10" t="inlineStr">
        <is>
          <t>How can we accurately calculate the fully loaded cost of each flex resource? What costs should be included beyond incentives? How do these costs vary by technology?</t>
        </is>
      </c>
      <c r="E18" s="10" t="inlineStr">
        <is>
          <t>Cost</t>
        </is>
      </c>
      <c r="F18" s="37" t="inlineStr">
        <is>
          <t>Gap</t>
        </is>
      </c>
      <c r="G18" s="10" t="inlineStr">
        <is>
          <t>No fully loaded cost by technology.</t>
        </is>
      </c>
    </row>
    <row r="19" ht="78" customHeight="1">
      <c r="A19" s="9" t="inlineStr">
        <is>
          <t>N2</t>
        </is>
      </c>
      <c r="B19" s="9" t="inlineStr">
        <is>
          <t>Local RA / LCR</t>
        </is>
      </c>
      <c r="C19" s="10" t="inlineStr">
        <is>
          <t>Q6 Dispatch rule and threshold</t>
        </is>
      </c>
      <c r="D1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19" s="10" t="inlineStr">
        <is>
          <t>Mechanism</t>
        </is>
      </c>
      <c r="F19" s="36" t="inlineStr">
        <is>
          <t>Partial</t>
        </is>
      </c>
      <c r="G19" s="10" t="inlineStr">
        <is>
          <t>CAISO local dispatch; LIP tail-weather forecast missing (G3).</t>
        </is>
      </c>
    </row>
    <row r="20" ht="39" customHeight="1">
      <c r="A20" s="9" t="inlineStr">
        <is>
          <t>N2</t>
        </is>
      </c>
      <c r="B20" s="9" t="inlineStr">
        <is>
          <t>Local RA / LCR</t>
        </is>
      </c>
      <c r="C20" s="10" t="inlineStr">
        <is>
          <t>Q7 Procurement mechanism</t>
        </is>
      </c>
      <c r="D20" s="10" t="inlineStr">
        <is>
          <t>What procurement mechanism best matches each type of grid need: competitive solicitations, reverse auctions, fixed-price procurement, bilaterals, or tariff-based participation?</t>
        </is>
      </c>
      <c r="E20" s="10" t="inlineStr">
        <is>
          <t>Mechanism</t>
        </is>
      </c>
      <c r="F20" s="34" t="inlineStr">
        <is>
          <t>Answered</t>
        </is>
      </c>
      <c r="G20" s="10" t="inlineStr">
        <is>
          <t>Central procurement solicitation; bid or show.</t>
        </is>
      </c>
    </row>
    <row r="21" ht="26" customHeight="1">
      <c r="A21" s="9" t="inlineStr">
        <is>
          <t>N2</t>
        </is>
      </c>
      <c r="B21" s="9" t="inlineStr">
        <is>
          <t>Local RA / LCR</t>
        </is>
      </c>
      <c r="C21" s="10" t="inlineStr">
        <is>
          <t>Q8 Max willingness to pay</t>
        </is>
      </c>
      <c r="D21" s="10" t="inlineStr">
        <is>
          <t>How should PG&amp;E determine the maximum amount it is willing to pay for flexibility?</t>
        </is>
      </c>
      <c r="E21" s="10" t="inlineStr">
        <is>
          <t>Value</t>
        </is>
      </c>
      <c r="F21" s="36" t="inlineStr">
        <is>
          <t>Partial</t>
        </is>
      </c>
      <c r="G21" s="10" t="inlineStr">
        <is>
          <t>LCR RCM pre-determined price as the cap anchor.</t>
        </is>
      </c>
    </row>
    <row r="22" ht="26" customHeight="1">
      <c r="A22" s="9" t="inlineStr">
        <is>
          <t>N2</t>
        </is>
      </c>
      <c r="B22" s="9" t="inlineStr">
        <is>
          <t>Local RA / LCR</t>
        </is>
      </c>
      <c r="C22" s="10" t="inlineStr">
        <is>
          <t>Q9 Bid evaluation</t>
        </is>
      </c>
      <c r="D22" s="10" t="inlineStr">
        <is>
          <t>How should bids be evaluated and selected when multiple providers can solve the same grid need?</t>
        </is>
      </c>
      <c r="E22" s="10" t="inlineStr">
        <is>
          <t>Mechanism</t>
        </is>
      </c>
      <c r="F22" s="36" t="inlineStr">
        <is>
          <t>Partial</t>
        </is>
      </c>
      <c r="G22" s="10" t="inlineStr">
        <is>
          <t>Effectiveness factors exist; need locational effective kW (G1).</t>
        </is>
      </c>
    </row>
    <row r="23" ht="26" customHeight="1">
      <c r="A23" s="9" t="inlineStr">
        <is>
          <t>N2</t>
        </is>
      </c>
      <c r="B23" s="9" t="inlineStr">
        <is>
          <t>Local RA / LCR</t>
        </is>
      </c>
      <c r="C23" s="10" t="inlineStr">
        <is>
          <t>Q10 Pathway interaction</t>
        </is>
      </c>
      <c r="D23" s="10" t="inlineStr">
        <is>
          <t>How should flexibility procurement interact with other participation pathways?</t>
        </is>
      </c>
      <c r="E23" s="10" t="inlineStr">
        <is>
          <t>Mechanism</t>
        </is>
      </c>
      <c r="F23" s="36" t="inlineStr">
        <is>
          <t>Partial</t>
        </is>
      </c>
      <c r="G23" s="10" t="inlineStr">
        <is>
          <t>Bid, show or retain options; DR dual participation.</t>
        </is>
      </c>
    </row>
    <row r="24">
      <c r="A24" s="9" t="inlineStr">
        <is>
          <t>N3</t>
        </is>
      </c>
      <c r="B24" s="9" t="inlineStr">
        <is>
          <t>Energy and ancillary</t>
        </is>
      </c>
      <c r="C24" s="10" t="inlineStr">
        <is>
          <t>Q1 Benefits</t>
        </is>
      </c>
      <c r="D24" s="10" t="inlineStr">
        <is>
          <t>What benefits are created by use case?</t>
        </is>
      </c>
      <c r="E24" s="10" t="inlineStr">
        <is>
          <t>Value</t>
        </is>
      </c>
      <c r="F24" s="34" t="inlineStr">
        <is>
          <t>Answered</t>
        </is>
      </c>
      <c r="G24" s="10" t="inlineStr">
        <is>
          <t>ACC energy and GHG; CAISO revenue.</t>
        </is>
      </c>
    </row>
    <row r="25">
      <c r="A25" s="9" t="inlineStr">
        <is>
          <t>N3</t>
        </is>
      </c>
      <c r="B25" s="9" t="inlineStr">
        <is>
          <t>Energy and ancillary</t>
        </is>
      </c>
      <c r="C25" s="10" t="inlineStr">
        <is>
          <t>Q2 Avoided costs</t>
        </is>
      </c>
      <c r="D25" s="10" t="inlineStr">
        <is>
          <t>What avoided infrastructure and operational costs can be quantified?</t>
        </is>
      </c>
      <c r="E25" s="10" t="inlineStr">
        <is>
          <t>Value</t>
        </is>
      </c>
      <c r="F25" s="34" t="inlineStr">
        <is>
          <t>Answered</t>
        </is>
      </c>
      <c r="G25" s="10" t="inlineStr">
        <is>
          <t>Avoided energy cost.</t>
        </is>
      </c>
    </row>
    <row r="26" ht="26" customHeight="1">
      <c r="A26" s="9" t="inlineStr">
        <is>
          <t>N3</t>
        </is>
      </c>
      <c r="B26" s="9" t="inlineStr">
        <is>
          <t>Energy and ancillary</t>
        </is>
      </c>
      <c r="C26" s="10" t="inlineStr">
        <is>
          <t>Q3 Benefit sharing</t>
        </is>
      </c>
      <c r="D26" s="10" t="inlineStr">
        <is>
          <t>How should benefits and incentives be shared amongst PG&amp;E, aggregators, and customers?</t>
        </is>
      </c>
      <c r="E26" s="10" t="inlineStr">
        <is>
          <t>Mechanism</t>
        </is>
      </c>
      <c r="F26" s="35" t="inlineStr">
        <is>
          <t>Policy</t>
        </is>
      </c>
      <c r="G26" s="10" t="inlineStr">
        <is>
          <t>Wholesale revenue vs retail export credit (NEM/NBT double compensation, RA #5).</t>
        </is>
      </c>
    </row>
    <row r="27" ht="26" customHeight="1">
      <c r="A27" s="9" t="inlineStr">
        <is>
          <t>N3</t>
        </is>
      </c>
      <c r="B27" s="9" t="inlineStr">
        <is>
          <t>Energy and ancillary</t>
        </is>
      </c>
      <c r="C27" s="10" t="inlineStr">
        <is>
          <t>Q4 Real-time and forward value</t>
        </is>
      </c>
      <c r="D27" s="10" t="inlineStr">
        <is>
          <t>How do we determine the real-time and forward-looking value of flexibility across all grid needs?</t>
        </is>
      </c>
      <c r="E27" s="10" t="inlineStr">
        <is>
          <t>Value</t>
        </is>
      </c>
      <c r="F27" s="34" t="inlineStr">
        <is>
          <t>Answered</t>
        </is>
      </c>
      <c r="G27" s="10" t="inlineStr">
        <is>
          <t>Observed CAISO day-ahead and real-time prices; ACC for forward.</t>
        </is>
      </c>
    </row>
    <row r="28" ht="39" customHeight="1">
      <c r="A28" s="9" t="inlineStr">
        <is>
          <t>N3</t>
        </is>
      </c>
      <c r="B28" s="9" t="inlineStr">
        <is>
          <t>Energy and ancillary</t>
        </is>
      </c>
      <c r="C28" s="10" t="inlineStr">
        <is>
          <t>Q5 Fully loaded cost</t>
        </is>
      </c>
      <c r="D28" s="10" t="inlineStr">
        <is>
          <t>How can we accurately calculate the fully loaded cost of each flex resource? What costs should be included beyond incentives? How do these costs vary by technology?</t>
        </is>
      </c>
      <c r="E28" s="10" t="inlineStr">
        <is>
          <t>Cost</t>
        </is>
      </c>
      <c r="F28" s="37" t="inlineStr">
        <is>
          <t>Gap</t>
        </is>
      </c>
      <c r="G28" s="10" t="inlineStr">
        <is>
          <t>No fully loaded cost by technology.</t>
        </is>
      </c>
    </row>
    <row r="29" ht="78" customHeight="1">
      <c r="A29" s="9" t="inlineStr">
        <is>
          <t>N3</t>
        </is>
      </c>
      <c r="B29" s="9" t="inlineStr">
        <is>
          <t>Energy and ancillary</t>
        </is>
      </c>
      <c r="C29" s="10" t="inlineStr">
        <is>
          <t>Q6 Dispatch rule and threshold</t>
        </is>
      </c>
      <c r="D2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29" s="10" t="inlineStr">
        <is>
          <t>Mechanism</t>
        </is>
      </c>
      <c r="F29" s="34" t="inlineStr">
        <is>
          <t>Answered</t>
        </is>
      </c>
      <c r="G29" s="10" t="inlineStr">
        <is>
          <t>Market dispatch on bids.</t>
        </is>
      </c>
    </row>
    <row r="30" ht="39" customHeight="1">
      <c r="A30" s="9" t="inlineStr">
        <is>
          <t>N3</t>
        </is>
      </c>
      <c r="B30" s="9" t="inlineStr">
        <is>
          <t>Energy and ancillary</t>
        </is>
      </c>
      <c r="C30" s="10" t="inlineStr">
        <is>
          <t>Q7 Procurement mechanism</t>
        </is>
      </c>
      <c r="D30" s="10" t="inlineStr">
        <is>
          <t>What procurement mechanism best matches each type of grid need: competitive solicitations, reverse auctions, fixed-price procurement, bilaterals, or tariff-based participation?</t>
        </is>
      </c>
      <c r="E30" s="10" t="inlineStr">
        <is>
          <t>Mechanism</t>
        </is>
      </c>
      <c r="F30" s="34" t="inlineStr">
        <is>
          <t>Answered</t>
        </is>
      </c>
      <c r="G30" s="10" t="inlineStr">
        <is>
          <t>PDR, RDRR, DERA; RTP tariff.</t>
        </is>
      </c>
    </row>
    <row r="31" ht="26" customHeight="1">
      <c r="A31" s="9" t="inlineStr">
        <is>
          <t>N3</t>
        </is>
      </c>
      <c r="B31" s="9" t="inlineStr">
        <is>
          <t>Energy and ancillary</t>
        </is>
      </c>
      <c r="C31" s="10" t="inlineStr">
        <is>
          <t>Q8 Max willingness to pay</t>
        </is>
      </c>
      <c r="D31" s="10" t="inlineStr">
        <is>
          <t>How should PG&amp;E determine the maximum amount it is willing to pay for flexibility?</t>
        </is>
      </c>
      <c r="E31" s="10" t="inlineStr">
        <is>
          <t>Value</t>
        </is>
      </c>
      <c r="F31" s="34" t="inlineStr">
        <is>
          <t>Answered</t>
        </is>
      </c>
      <c r="G31" s="10" t="inlineStr">
        <is>
          <t>Market price.</t>
        </is>
      </c>
    </row>
    <row r="32" ht="26" customHeight="1">
      <c r="A32" s="9" t="inlineStr">
        <is>
          <t>N3</t>
        </is>
      </c>
      <c r="B32" s="9" t="inlineStr">
        <is>
          <t>Energy and ancillary</t>
        </is>
      </c>
      <c r="C32" s="10" t="inlineStr">
        <is>
          <t>Q9 Bid evaluation</t>
        </is>
      </c>
      <c r="D32" s="10" t="inlineStr">
        <is>
          <t>How should bids be evaluated and selected when multiple providers can solve the same grid need?</t>
        </is>
      </c>
      <c r="E32" s="10" t="inlineStr">
        <is>
          <t>Mechanism</t>
        </is>
      </c>
      <c r="F32" s="34" t="inlineStr">
        <is>
          <t>Answered</t>
        </is>
      </c>
      <c r="G32" s="10" t="inlineStr">
        <is>
          <t>Market clearing.</t>
        </is>
      </c>
    </row>
    <row r="33" ht="26" customHeight="1">
      <c r="A33" s="9" t="inlineStr">
        <is>
          <t>N3</t>
        </is>
      </c>
      <c r="B33" s="9" t="inlineStr">
        <is>
          <t>Energy and ancillary</t>
        </is>
      </c>
      <c r="C33" s="10" t="inlineStr">
        <is>
          <t>Q10 Pathway interaction</t>
        </is>
      </c>
      <c r="D33" s="10" t="inlineStr">
        <is>
          <t>How should flexibility procurement interact with other participation pathways?</t>
        </is>
      </c>
      <c r="E33" s="10" t="inlineStr">
        <is>
          <t>Mechanism</t>
        </is>
      </c>
      <c r="F33" s="36" t="inlineStr">
        <is>
          <t>Partial</t>
        </is>
      </c>
      <c r="G33" s="10" t="inlineStr">
        <is>
          <t>DDEMI Tracks 1–2; double compensation unresolved.</t>
        </is>
      </c>
    </row>
    <row r="34">
      <c r="A34" s="9" t="inlineStr">
        <is>
          <t>N4</t>
        </is>
      </c>
      <c r="B34" s="9" t="inlineStr">
        <is>
          <t>Distribution deferral</t>
        </is>
      </c>
      <c r="C34" s="10" t="inlineStr">
        <is>
          <t>Q1 Benefits</t>
        </is>
      </c>
      <c r="D34" s="10" t="inlineStr">
        <is>
          <t>What benefits are created by use case?</t>
        </is>
      </c>
      <c r="E34" s="10" t="inlineStr">
        <is>
          <t>Value</t>
        </is>
      </c>
      <c r="F34" s="34" t="inlineStr">
        <is>
          <t>Answered</t>
        </is>
      </c>
      <c r="G34" s="10" t="inlineStr">
        <is>
          <t>Dx deferral_1–6.</t>
        </is>
      </c>
    </row>
    <row r="35">
      <c r="A35" s="9" t="inlineStr">
        <is>
          <t>N4</t>
        </is>
      </c>
      <c r="B35" s="9" t="inlineStr">
        <is>
          <t>Distribution deferral</t>
        </is>
      </c>
      <c r="C35" s="10" t="inlineStr">
        <is>
          <t>Q2 Avoided costs</t>
        </is>
      </c>
      <c r="D35" s="10" t="inlineStr">
        <is>
          <t>What avoided infrastructure and operational costs can be quantified?</t>
        </is>
      </c>
      <c r="E35" s="10" t="inlineStr">
        <is>
          <t>Value</t>
        </is>
      </c>
      <c r="F35" s="36" t="inlineStr">
        <is>
          <t>Partial</t>
        </is>
      </c>
      <c r="G35" s="10" t="inlineStr">
        <is>
          <t>Only deferral_1 is monetized (DIDF); deferral_2, 3, 5, 6 are not.</t>
        </is>
      </c>
    </row>
    <row r="36" ht="26" customHeight="1">
      <c r="A36" s="9" t="inlineStr">
        <is>
          <t>N4</t>
        </is>
      </c>
      <c r="B36" s="9" t="inlineStr">
        <is>
          <t>Distribution deferral</t>
        </is>
      </c>
      <c r="C36" s="10" t="inlineStr">
        <is>
          <t>Q3 Benefit sharing</t>
        </is>
      </c>
      <c r="D36" s="10" t="inlineStr">
        <is>
          <t>How should benefits and incentives be shared amongst PG&amp;E, aggregators, and customers?</t>
        </is>
      </c>
      <c r="E36" s="10" t="inlineStr">
        <is>
          <t>Mechanism</t>
        </is>
      </c>
      <c r="F36" s="38" t="inlineStr">
        <is>
          <t>Design</t>
        </is>
      </c>
      <c r="G36" s="10" t="inlineStr">
        <is>
          <t>Availability vs performance payment; who bears non-delivery (DIDF precedent).</t>
        </is>
      </c>
    </row>
    <row r="37" ht="26" customHeight="1">
      <c r="A37" s="9" t="inlineStr">
        <is>
          <t>N4</t>
        </is>
      </c>
      <c r="B37" s="9" t="inlineStr">
        <is>
          <t>Distribution deferral</t>
        </is>
      </c>
      <c r="C37" s="10" t="inlineStr">
        <is>
          <t>Q4 Real-time and forward value</t>
        </is>
      </c>
      <c r="D37" s="10" t="inlineStr">
        <is>
          <t>How do we determine the real-time and forward-looking value of flexibility across all grid needs?</t>
        </is>
      </c>
      <c r="E37" s="10" t="inlineStr">
        <is>
          <t>Value</t>
        </is>
      </c>
      <c r="F37" s="36" t="inlineStr">
        <is>
          <t>Partial</t>
        </is>
      </c>
      <c r="G37" s="10" t="inlineStr">
        <is>
          <t>Forward value = engineering avoided cost; option value missing (deferral_3); no real-time component.</t>
        </is>
      </c>
    </row>
    <row r="38" ht="39" customHeight="1">
      <c r="A38" s="9" t="inlineStr">
        <is>
          <t>N4</t>
        </is>
      </c>
      <c r="B38" s="9" t="inlineStr">
        <is>
          <t>Distribution deferral</t>
        </is>
      </c>
      <c r="C38" s="10" t="inlineStr">
        <is>
          <t>Q5 Fully loaded cost</t>
        </is>
      </c>
      <c r="D38" s="10" t="inlineStr">
        <is>
          <t>How can we accurately calculate the fully loaded cost of each flex resource? What costs should be included beyond incentives? How do these costs vary by technology?</t>
        </is>
      </c>
      <c r="E38" s="10" t="inlineStr">
        <is>
          <t>Cost</t>
        </is>
      </c>
      <c r="F38" s="37" t="inlineStr">
        <is>
          <t>Gap</t>
        </is>
      </c>
      <c r="G38" s="10" t="inlineStr">
        <is>
          <t>No fully loaded cost by technology.</t>
        </is>
      </c>
    </row>
    <row r="39" ht="78" customHeight="1">
      <c r="A39" s="9" t="inlineStr">
        <is>
          <t>N4</t>
        </is>
      </c>
      <c r="B39" s="9" t="inlineStr">
        <is>
          <t>Distribution deferral</t>
        </is>
      </c>
      <c r="C39" s="10" t="inlineStr">
        <is>
          <t>Q6 Dispatch rule and threshold</t>
        </is>
      </c>
      <c r="D3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39" s="10" t="inlineStr">
        <is>
          <t>Mechanism</t>
        </is>
      </c>
      <c r="F39" s="37" t="inlineStr">
        <is>
          <t>Gap</t>
        </is>
      </c>
      <c r="G39" s="10" t="inlineStr">
        <is>
          <t>Dispatch rule tied to element loading and need-hour availability (G2, G5).</t>
        </is>
      </c>
    </row>
    <row r="40" ht="39" customHeight="1">
      <c r="A40" s="9" t="inlineStr">
        <is>
          <t>N4</t>
        </is>
      </c>
      <c r="B40" s="9" t="inlineStr">
        <is>
          <t>Distribution deferral</t>
        </is>
      </c>
      <c r="C40" s="10" t="inlineStr">
        <is>
          <t>Q7 Procurement mechanism</t>
        </is>
      </c>
      <c r="D40" s="10" t="inlineStr">
        <is>
          <t>What procurement mechanism best matches each type of grid need: competitive solicitations, reverse auctions, fixed-price procurement, bilaterals, or tariff-based participation?</t>
        </is>
      </c>
      <c r="E40" s="10" t="inlineStr">
        <is>
          <t>Mechanism</t>
        </is>
      </c>
      <c r="F40" s="36" t="inlineStr">
        <is>
          <t>Partial</t>
        </is>
      </c>
      <c r="G40" s="10" t="inlineStr">
        <is>
          <t>DIDF solicitation and standard offer exist; evaluated as undersized.</t>
        </is>
      </c>
    </row>
    <row r="41" ht="26" customHeight="1">
      <c r="A41" s="9" t="inlineStr">
        <is>
          <t>N4</t>
        </is>
      </c>
      <c r="B41" s="9" t="inlineStr">
        <is>
          <t>Distribution deferral</t>
        </is>
      </c>
      <c r="C41" s="10" t="inlineStr">
        <is>
          <t>Q8 Max willingness to pay</t>
        </is>
      </c>
      <c r="D41" s="10" t="inlineStr">
        <is>
          <t>How should PG&amp;E determine the maximum amount it is willing to pay for flexibility?</t>
        </is>
      </c>
      <c r="E41" s="10" t="inlineStr">
        <is>
          <t>Value</t>
        </is>
      </c>
      <c r="F41" s="36" t="inlineStr">
        <is>
          <t>Partial</t>
        </is>
      </c>
      <c r="G41" s="10" t="inlineStr">
        <is>
          <t>Deferral value as ceiling; needs risk adjustment to effective kW at P10 (G4).</t>
        </is>
      </c>
    </row>
    <row r="42" ht="26" customHeight="1">
      <c r="A42" s="9" t="inlineStr">
        <is>
          <t>N4</t>
        </is>
      </c>
      <c r="B42" s="9" t="inlineStr">
        <is>
          <t>Distribution deferral</t>
        </is>
      </c>
      <c r="C42" s="10" t="inlineStr">
        <is>
          <t>Q9 Bid evaluation</t>
        </is>
      </c>
      <c r="D42" s="10" t="inlineStr">
        <is>
          <t>How should bids be evaluated and selected when multiple providers can solve the same grid need?</t>
        </is>
      </c>
      <c r="E42" s="10" t="inlineStr">
        <is>
          <t>Mechanism</t>
        </is>
      </c>
      <c r="F42" s="37" t="inlineStr">
        <is>
          <t>Gap</t>
        </is>
      </c>
      <c r="G42" s="10" t="inlineStr">
        <is>
          <t>Score on effective kW at the element, not nominal (G1–G4).</t>
        </is>
      </c>
    </row>
    <row r="43" ht="26" customHeight="1">
      <c r="A43" s="9" t="inlineStr">
        <is>
          <t>N4</t>
        </is>
      </c>
      <c r="B43" s="9" t="inlineStr">
        <is>
          <t>Distribution deferral</t>
        </is>
      </c>
      <c r="C43" s="10" t="inlineStr">
        <is>
          <t>Q10 Pathway interaction</t>
        </is>
      </c>
      <c r="D43" s="10" t="inlineStr">
        <is>
          <t>How should flexibility procurement interact with other participation pathways?</t>
        </is>
      </c>
      <c r="E43" s="10" t="inlineStr">
        <is>
          <t>Mechanism</t>
        </is>
      </c>
      <c r="F43" s="37" t="inlineStr">
        <is>
          <t>Gap</t>
        </is>
      </c>
      <c r="G43" s="10" t="inlineStr">
        <is>
          <t>Conflict with system RA dispatch of the same resource (G9).</t>
        </is>
      </c>
    </row>
    <row r="44">
      <c r="A44" s="9" t="inlineStr">
        <is>
          <t>N5</t>
        </is>
      </c>
      <c r="B44" s="9" t="inlineStr">
        <is>
          <t>Bridge-to-wires</t>
        </is>
      </c>
      <c r="C44" s="10" t="inlineStr">
        <is>
          <t>Q1 Benefits</t>
        </is>
      </c>
      <c r="D44" s="10" t="inlineStr">
        <is>
          <t>What benefits are created by use case?</t>
        </is>
      </c>
      <c r="E44" s="10" t="inlineStr">
        <is>
          <t>Value</t>
        </is>
      </c>
      <c r="F44" s="34" t="inlineStr">
        <is>
          <t>Answered</t>
        </is>
      </c>
      <c r="G44" s="10" t="inlineStr">
        <is>
          <t>Dx bridge_1–7.</t>
        </is>
      </c>
    </row>
    <row r="45">
      <c r="A45" s="9" t="inlineStr">
        <is>
          <t>N5</t>
        </is>
      </c>
      <c r="B45" s="9" t="inlineStr">
        <is>
          <t>Bridge-to-wires</t>
        </is>
      </c>
      <c r="C45" s="10" t="inlineStr">
        <is>
          <t>Q2 Avoided costs</t>
        </is>
      </c>
      <c r="D45" s="10" t="inlineStr">
        <is>
          <t>What avoided infrastructure and operational costs can be quantified?</t>
        </is>
      </c>
      <c r="E45" s="10" t="inlineStr">
        <is>
          <t>Value</t>
        </is>
      </c>
      <c r="F45" s="36" t="inlineStr">
        <is>
          <t>Partial</t>
        </is>
      </c>
      <c r="G45" s="10" t="inlineStr">
        <is>
          <t>bridge_4 and bridge_5 are direct costs; bridge_1, 2, 6 are unpriced.</t>
        </is>
      </c>
    </row>
    <row r="46" ht="26" customHeight="1">
      <c r="A46" s="9" t="inlineStr">
        <is>
          <t>N5</t>
        </is>
      </c>
      <c r="B46" s="9" t="inlineStr">
        <is>
          <t>Bridge-to-wires</t>
        </is>
      </c>
      <c r="C46" s="10" t="inlineStr">
        <is>
          <t>Q3 Benefit sharing</t>
        </is>
      </c>
      <c r="D46" s="10" t="inlineStr">
        <is>
          <t>How should benefits and incentives be shared amongst PG&amp;E, aggregators, and customers?</t>
        </is>
      </c>
      <c r="E46" s="10" t="inlineStr">
        <is>
          <t>Mechanism</t>
        </is>
      </c>
      <c r="F46" s="38" t="inlineStr">
        <is>
          <t>Design</t>
        </is>
      </c>
      <c r="G46" s="10" t="inlineStr">
        <is>
          <t>Short-tenor availability contract; allocation of non-performance risk.</t>
        </is>
      </c>
    </row>
    <row r="47" ht="26" customHeight="1">
      <c r="A47" s="9" t="inlineStr">
        <is>
          <t>N5</t>
        </is>
      </c>
      <c r="B47" s="9" t="inlineStr">
        <is>
          <t>Bridge-to-wires</t>
        </is>
      </c>
      <c r="C47" s="10" t="inlineStr">
        <is>
          <t>Q4 Real-time and forward value</t>
        </is>
      </c>
      <c r="D47" s="10" t="inlineStr">
        <is>
          <t>How do we determine the real-time and forward-looking value of flexibility across all grid needs?</t>
        </is>
      </c>
      <c r="E47" s="10" t="inlineStr">
        <is>
          <t>Value</t>
        </is>
      </c>
      <c r="F47" s="37" t="inlineStr">
        <is>
          <t>Gap</t>
        </is>
      </c>
      <c r="G47" s="10" t="inlineStr">
        <is>
          <t>Real-time value (shadow price or VOLL) not computed; no construct aggregates the streams.</t>
        </is>
      </c>
    </row>
    <row r="48" ht="39" customHeight="1">
      <c r="A48" s="9" t="inlineStr">
        <is>
          <t>N5</t>
        </is>
      </c>
      <c r="B48" s="9" t="inlineStr">
        <is>
          <t>Bridge-to-wires</t>
        </is>
      </c>
      <c r="C48" s="10" t="inlineStr">
        <is>
          <t>Q5 Fully loaded cost</t>
        </is>
      </c>
      <c r="D48" s="10" t="inlineStr">
        <is>
          <t>How can we accurately calculate the fully loaded cost of each flex resource? What costs should be included beyond incentives? How do these costs vary by technology?</t>
        </is>
      </c>
      <c r="E48" s="10" t="inlineStr">
        <is>
          <t>Cost</t>
        </is>
      </c>
      <c r="F48" s="37" t="inlineStr">
        <is>
          <t>Gap</t>
        </is>
      </c>
      <c r="G48" s="10" t="inlineStr">
        <is>
          <t>No fully loaded cost by technology.</t>
        </is>
      </c>
    </row>
    <row r="49" ht="78" customHeight="1">
      <c r="A49" s="9" t="inlineStr">
        <is>
          <t>N5</t>
        </is>
      </c>
      <c r="B49" s="9" t="inlineStr">
        <is>
          <t>Bridge-to-wires</t>
        </is>
      </c>
      <c r="C49" s="10" t="inlineStr">
        <is>
          <t>Q6 Dispatch rule and threshold</t>
        </is>
      </c>
      <c r="D4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49" s="10" t="inlineStr">
        <is>
          <t>Mechanism</t>
        </is>
      </c>
      <c r="F49" s="37" t="inlineStr">
        <is>
          <t>Gap</t>
        </is>
      </c>
      <c r="G49" s="10" t="inlineStr">
        <is>
          <t>Dispatch on overload forecast needs a day-ahead forecast (G12).</t>
        </is>
      </c>
    </row>
    <row r="50" ht="39" customHeight="1">
      <c r="A50" s="9" t="inlineStr">
        <is>
          <t>N5</t>
        </is>
      </c>
      <c r="B50" s="9" t="inlineStr">
        <is>
          <t>Bridge-to-wires</t>
        </is>
      </c>
      <c r="C50" s="10" t="inlineStr">
        <is>
          <t>Q7 Procurement mechanism</t>
        </is>
      </c>
      <c r="D50" s="10" t="inlineStr">
        <is>
          <t>What procurement mechanism best matches each type of grid need: competitive solicitations, reverse auctions, fixed-price procurement, bilaterals, or tariff-based participation?</t>
        </is>
      </c>
      <c r="E50" s="10" t="inlineStr">
        <is>
          <t>Mechanism</t>
        </is>
      </c>
      <c r="F50" s="38" t="inlineStr">
        <is>
          <t>Design</t>
        </is>
      </c>
      <c r="G50" s="10" t="inlineStr">
        <is>
          <t>Bilateral or fixed-price vs targeted tariff in a thin market.</t>
        </is>
      </c>
    </row>
    <row r="51" ht="26" customHeight="1">
      <c r="A51" s="9" t="inlineStr">
        <is>
          <t>N5</t>
        </is>
      </c>
      <c r="B51" s="9" t="inlineStr">
        <is>
          <t>Bridge-to-wires</t>
        </is>
      </c>
      <c r="C51" s="10" t="inlineStr">
        <is>
          <t>Q8 Max willingness to pay</t>
        </is>
      </c>
      <c r="D51" s="10" t="inlineStr">
        <is>
          <t>How should PG&amp;E determine the maximum amount it is willing to pay for flexibility?</t>
        </is>
      </c>
      <c r="E51" s="10" t="inlineStr">
        <is>
          <t>Value</t>
        </is>
      </c>
      <c r="F51" s="36" t="inlineStr">
        <is>
          <t>Partial</t>
        </is>
      </c>
      <c r="G51" s="10" t="inlineStr">
        <is>
          <t>Cost of temporary measures (bridge_4) as ceiling.</t>
        </is>
      </c>
    </row>
    <row r="52" ht="26" customHeight="1">
      <c r="A52" s="9" t="inlineStr">
        <is>
          <t>N5</t>
        </is>
      </c>
      <c r="B52" s="9" t="inlineStr">
        <is>
          <t>Bridge-to-wires</t>
        </is>
      </c>
      <c r="C52" s="10" t="inlineStr">
        <is>
          <t>Q9 Bid evaluation</t>
        </is>
      </c>
      <c r="D52" s="10" t="inlineStr">
        <is>
          <t>How should bids be evaluated and selected when multiple providers can solve the same grid need?</t>
        </is>
      </c>
      <c r="E52" s="10" t="inlineStr">
        <is>
          <t>Mechanism</t>
        </is>
      </c>
      <c r="F52" s="37" t="inlineStr">
        <is>
          <t>Gap</t>
        </is>
      </c>
      <c r="G52" s="10" t="inlineStr">
        <is>
          <t>Comparing DR against mobile generation on firmness (G4, G5).</t>
        </is>
      </c>
    </row>
    <row r="53" ht="26" customHeight="1">
      <c r="A53" s="9" t="inlineStr">
        <is>
          <t>N5</t>
        </is>
      </c>
      <c r="B53" s="9" t="inlineStr">
        <is>
          <t>Bridge-to-wires</t>
        </is>
      </c>
      <c r="C53" s="10" t="inlineStr">
        <is>
          <t>Q10 Pathway interaction</t>
        </is>
      </c>
      <c r="D53" s="10" t="inlineStr">
        <is>
          <t>How should flexibility procurement interact with other participation pathways?</t>
        </is>
      </c>
      <c r="E53" s="10" t="inlineStr">
        <is>
          <t>Mechanism</t>
        </is>
      </c>
      <c r="F53" s="37" t="inlineStr">
        <is>
          <t>Gap</t>
        </is>
      </c>
      <c r="G53" s="10" t="inlineStr">
        <is>
          <t>Priority against CAISO market bids (dispatch coordination).</t>
        </is>
      </c>
    </row>
    <row r="54">
      <c r="A54" s="9" t="inlineStr">
        <is>
          <t>N6</t>
        </is>
      </c>
      <c r="B54" s="9" t="inlineStr">
        <is>
          <t>Speed-to-power</t>
        </is>
      </c>
      <c r="C54" s="10" t="inlineStr">
        <is>
          <t>Q1 Benefits</t>
        </is>
      </c>
      <c r="D54" s="10" t="inlineStr">
        <is>
          <t>What benefits are created by use case?</t>
        </is>
      </c>
      <c r="E54" s="10" t="inlineStr">
        <is>
          <t>Value</t>
        </is>
      </c>
      <c r="F54" s="36" t="inlineStr">
        <is>
          <t>Partial</t>
        </is>
      </c>
      <c r="G54" s="10" t="inlineStr">
        <is>
          <t>bridge_3 and bridge_7; speed-to-power work.</t>
        </is>
      </c>
    </row>
    <row r="55">
      <c r="A55" s="9" t="inlineStr">
        <is>
          <t>N6</t>
        </is>
      </c>
      <c r="B55" s="9" t="inlineStr">
        <is>
          <t>Speed-to-power</t>
        </is>
      </c>
      <c r="C55" s="10" t="inlineStr">
        <is>
          <t>Q2 Avoided costs</t>
        </is>
      </c>
      <c r="D55" s="10" t="inlineStr">
        <is>
          <t>What avoided infrastructure and operational costs can be quantified?</t>
        </is>
      </c>
      <c r="E55" s="10" t="inlineStr">
        <is>
          <t>Value</t>
        </is>
      </c>
      <c r="F55" s="37" t="inlineStr">
        <is>
          <t>Gap</t>
        </is>
      </c>
      <c r="G55" s="10" t="inlineStr">
        <is>
          <t>Enabled load not monetized; no method behind SB 410 timelines.</t>
        </is>
      </c>
    </row>
    <row r="56" ht="26" customHeight="1">
      <c r="A56" s="9" t="inlineStr">
        <is>
          <t>N6</t>
        </is>
      </c>
      <c r="B56" s="9" t="inlineStr">
        <is>
          <t>Speed-to-power</t>
        </is>
      </c>
      <c r="C56" s="10" t="inlineStr">
        <is>
          <t>Q3 Benefit sharing</t>
        </is>
      </c>
      <c r="D56" s="10" t="inlineStr">
        <is>
          <t>How should benefits and incentives be shared amongst PG&amp;E, aggregators, and customers?</t>
        </is>
      </c>
      <c r="E56" s="10" t="inlineStr">
        <is>
          <t>Mechanism</t>
        </is>
      </c>
      <c r="F56" s="35" t="inlineStr">
        <is>
          <t>Policy</t>
        </is>
      </c>
      <c r="G56" s="10" t="inlineStr">
        <is>
          <t>Enabled customer funding vs ratepayers; customer-side value only under a societal test.</t>
        </is>
      </c>
    </row>
    <row r="57" ht="26" customHeight="1">
      <c r="A57" s="9" t="inlineStr">
        <is>
          <t>N6</t>
        </is>
      </c>
      <c r="B57" s="9" t="inlineStr">
        <is>
          <t>Speed-to-power</t>
        </is>
      </c>
      <c r="C57" s="10" t="inlineStr">
        <is>
          <t>Q4 Real-time and forward value</t>
        </is>
      </c>
      <c r="D57" s="10" t="inlineStr">
        <is>
          <t>How do we determine the real-time and forward-looking value of flexibility across all grid needs?</t>
        </is>
      </c>
      <c r="E57" s="10" t="inlineStr">
        <is>
          <t>Value</t>
        </is>
      </c>
      <c r="F57" s="37" t="inlineStr">
        <is>
          <t>Gap</t>
        </is>
      </c>
      <c r="G57" s="10" t="inlineStr">
        <is>
          <t>Value of earlier energization undefined.</t>
        </is>
      </c>
    </row>
    <row r="58" ht="39" customHeight="1">
      <c r="A58" s="9" t="inlineStr">
        <is>
          <t>N6</t>
        </is>
      </c>
      <c r="B58" s="9" t="inlineStr">
        <is>
          <t>Speed-to-power</t>
        </is>
      </c>
      <c r="C58" s="10" t="inlineStr">
        <is>
          <t>Q5 Fully loaded cost</t>
        </is>
      </c>
      <c r="D58" s="10" t="inlineStr">
        <is>
          <t>How can we accurately calculate the fully loaded cost of each flex resource? What costs should be included beyond incentives? How do these costs vary by technology?</t>
        </is>
      </c>
      <c r="E58" s="10" t="inlineStr">
        <is>
          <t>Cost</t>
        </is>
      </c>
      <c r="F58" s="37" t="inlineStr">
        <is>
          <t>Gap</t>
        </is>
      </c>
      <c r="G58" s="10" t="inlineStr">
        <is>
          <t>No fully loaded cost by technology.</t>
        </is>
      </c>
    </row>
    <row r="59" ht="78" customHeight="1">
      <c r="A59" s="9" t="inlineStr">
        <is>
          <t>N6</t>
        </is>
      </c>
      <c r="B59" s="9" t="inlineStr">
        <is>
          <t>Speed-to-power</t>
        </is>
      </c>
      <c r="C59" s="10" t="inlineStr">
        <is>
          <t>Q6 Dispatch rule and threshold</t>
        </is>
      </c>
      <c r="D5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59" s="10" t="inlineStr">
        <is>
          <t>Mechanism</t>
        </is>
      </c>
      <c r="F59" s="36" t="inlineStr">
        <is>
          <t>Partial</t>
        </is>
      </c>
      <c r="G59" s="10" t="inlineStr">
        <is>
          <t>Dispatch to hold load under the rating, as bridge-to-wires.</t>
        </is>
      </c>
    </row>
    <row r="60" ht="39" customHeight="1">
      <c r="A60" s="9" t="inlineStr">
        <is>
          <t>N6</t>
        </is>
      </c>
      <c r="B60" s="9" t="inlineStr">
        <is>
          <t>Speed-to-power</t>
        </is>
      </c>
      <c r="C60" s="10" t="inlineStr">
        <is>
          <t>Q7 Procurement mechanism</t>
        </is>
      </c>
      <c r="D60" s="10" t="inlineStr">
        <is>
          <t>What procurement mechanism best matches each type of grid need: competitive solicitations, reverse auctions, fixed-price procurement, bilaterals, or tariff-based participation?</t>
        </is>
      </c>
      <c r="E60" s="10" t="inlineStr">
        <is>
          <t>Mechanism</t>
        </is>
      </c>
      <c r="F60" s="38" t="inlineStr">
        <is>
          <t>Design</t>
        </is>
      </c>
      <c r="G60" s="10" t="inlineStr">
        <is>
          <t>Customer-funded bilateral; flexible interconnection agreement.</t>
        </is>
      </c>
    </row>
    <row r="61" ht="26" customHeight="1">
      <c r="A61" s="9" t="inlineStr">
        <is>
          <t>N6</t>
        </is>
      </c>
      <c r="B61" s="9" t="inlineStr">
        <is>
          <t>Speed-to-power</t>
        </is>
      </c>
      <c r="C61" s="10" t="inlineStr">
        <is>
          <t>Q8 Max willingness to pay</t>
        </is>
      </c>
      <c r="D61" s="10" t="inlineStr">
        <is>
          <t>How should PG&amp;E determine the maximum amount it is willing to pay for flexibility?</t>
        </is>
      </c>
      <c r="E61" s="10" t="inlineStr">
        <is>
          <t>Value</t>
        </is>
      </c>
      <c r="F61" s="37" t="inlineStr">
        <is>
          <t>Gap</t>
        </is>
      </c>
      <c r="G61" s="10" t="inlineStr">
        <is>
          <t>No standard anchor: customer willingness to pay or avoided revenue delay.</t>
        </is>
      </c>
    </row>
    <row r="62" ht="26" customHeight="1">
      <c r="A62" s="9" t="inlineStr">
        <is>
          <t>N6</t>
        </is>
      </c>
      <c r="B62" s="9" t="inlineStr">
        <is>
          <t>Speed-to-power</t>
        </is>
      </c>
      <c r="C62" s="10" t="inlineStr">
        <is>
          <t>Q9 Bid evaluation</t>
        </is>
      </c>
      <c r="D62" s="10" t="inlineStr">
        <is>
          <t>How should bids be evaluated and selected when multiple providers can solve the same grid need?</t>
        </is>
      </c>
      <c r="E62" s="10" t="inlineStr">
        <is>
          <t>Mechanism</t>
        </is>
      </c>
      <c r="F62" s="37" t="inlineStr">
        <is>
          <t>Gap</t>
        </is>
      </c>
      <c r="G62" s="10" t="inlineStr">
        <is>
          <t>No evaluation method.</t>
        </is>
      </c>
    </row>
    <row r="63" ht="26" customHeight="1">
      <c r="A63" s="9" t="inlineStr">
        <is>
          <t>N6</t>
        </is>
      </c>
      <c r="B63" s="9" t="inlineStr">
        <is>
          <t>Speed-to-power</t>
        </is>
      </c>
      <c r="C63" s="10" t="inlineStr">
        <is>
          <t>Q10 Pathway interaction</t>
        </is>
      </c>
      <c r="D63" s="10" t="inlineStr">
        <is>
          <t>How should flexibility procurement interact with other participation pathways?</t>
        </is>
      </c>
      <c r="E63" s="10" t="inlineStr">
        <is>
          <t>Mechanism</t>
        </is>
      </c>
      <c r="F63" s="37" t="inlineStr">
        <is>
          <t>Gap</t>
        </is>
      </c>
      <c r="G63" s="10" t="inlineStr">
        <is>
          <t>Interaction with interconnection and energization rules.</t>
        </is>
      </c>
    </row>
    <row r="64">
      <c r="A64" s="9" t="inlineStr">
        <is>
          <t>N7</t>
        </is>
      </c>
      <c r="B64" s="9" t="inlineStr">
        <is>
          <t>Real-time distribution congestion</t>
        </is>
      </c>
      <c r="C64" s="10" t="inlineStr">
        <is>
          <t>Q1 Benefits</t>
        </is>
      </c>
      <c r="D64" s="10" t="inlineStr">
        <is>
          <t>What benefits are created by use case?</t>
        </is>
      </c>
      <c r="E64" s="10" t="inlineStr">
        <is>
          <t>Value</t>
        </is>
      </c>
      <c r="F64" s="36" t="inlineStr">
        <is>
          <t>Partial</t>
        </is>
      </c>
      <c r="G64" s="10" t="inlineStr">
        <is>
          <t>bridge_6 degradation; bridge_1.</t>
        </is>
      </c>
    </row>
    <row r="65">
      <c r="A65" s="9" t="inlineStr">
        <is>
          <t>N7</t>
        </is>
      </c>
      <c r="B65" s="9" t="inlineStr">
        <is>
          <t>Real-time distribution congestion</t>
        </is>
      </c>
      <c r="C65" s="10" t="inlineStr">
        <is>
          <t>Q2 Avoided costs</t>
        </is>
      </c>
      <c r="D65" s="10" t="inlineStr">
        <is>
          <t>What avoided infrastructure and operational costs can be quantified?</t>
        </is>
      </c>
      <c r="E65" s="10" t="inlineStr">
        <is>
          <t>Value</t>
        </is>
      </c>
      <c r="F65" s="36" t="inlineStr">
        <is>
          <t>Partial</t>
        </is>
      </c>
      <c r="G65" s="10" t="inlineStr">
        <is>
          <t>Loss of life unpriced (bridge_6).</t>
        </is>
      </c>
    </row>
    <row r="66" ht="26" customHeight="1">
      <c r="A66" s="9" t="inlineStr">
        <is>
          <t>N7</t>
        </is>
      </c>
      <c r="B66" s="9" t="inlineStr">
        <is>
          <t>Real-time distribution congestion</t>
        </is>
      </c>
      <c r="C66" s="10" t="inlineStr">
        <is>
          <t>Q3 Benefit sharing</t>
        </is>
      </c>
      <c r="D66" s="10" t="inlineStr">
        <is>
          <t>How should benefits and incentives be shared amongst PG&amp;E, aggregators, and customers?</t>
        </is>
      </c>
      <c r="E66" s="10" t="inlineStr">
        <is>
          <t>Mechanism</t>
        </is>
      </c>
      <c r="F66" s="38" t="inlineStr">
        <is>
          <t>Design</t>
        </is>
      </c>
      <c r="G66" s="10" t="inlineStr">
        <is>
          <t>Dynamic locational tariff vs dispatch payments.</t>
        </is>
      </c>
    </row>
    <row r="67" ht="26" customHeight="1">
      <c r="A67" s="9" t="inlineStr">
        <is>
          <t>N7</t>
        </is>
      </c>
      <c r="B67" s="9" t="inlineStr">
        <is>
          <t>Real-time distribution congestion</t>
        </is>
      </c>
      <c r="C67" s="10" t="inlineStr">
        <is>
          <t>Q4 Real-time and forward value</t>
        </is>
      </c>
      <c r="D67" s="10" t="inlineStr">
        <is>
          <t>How do we determine the real-time and forward-looking value of flexibility across all grid needs?</t>
        </is>
      </c>
      <c r="E67" s="10" t="inlineStr">
        <is>
          <t>Value</t>
        </is>
      </c>
      <c r="F67" s="37" t="inlineStr">
        <is>
          <t>Gap</t>
        </is>
      </c>
      <c r="G67" s="10" t="inlineStr">
        <is>
          <t>Shadow price needs a nodal model and a node-hour tariff that does not exist in CA (Dx Paradigms).</t>
        </is>
      </c>
    </row>
    <row r="68" ht="39" customHeight="1">
      <c r="A68" s="9" t="inlineStr">
        <is>
          <t>N7</t>
        </is>
      </c>
      <c r="B68" s="9" t="inlineStr">
        <is>
          <t>Real-time distribution congestion</t>
        </is>
      </c>
      <c r="C68" s="10" t="inlineStr">
        <is>
          <t>Q5 Fully loaded cost</t>
        </is>
      </c>
      <c r="D68" s="10" t="inlineStr">
        <is>
          <t>How can we accurately calculate the fully loaded cost of each flex resource? What costs should be included beyond incentives? How do these costs vary by technology?</t>
        </is>
      </c>
      <c r="E68" s="10" t="inlineStr">
        <is>
          <t>Cost</t>
        </is>
      </c>
      <c r="F68" s="37" t="inlineStr">
        <is>
          <t>Gap</t>
        </is>
      </c>
      <c r="G68" s="10" t="inlineStr">
        <is>
          <t>No fully loaded cost by technology.</t>
        </is>
      </c>
    </row>
    <row r="69" ht="78" customHeight="1">
      <c r="A69" s="9" t="inlineStr">
        <is>
          <t>N7</t>
        </is>
      </c>
      <c r="B69" s="9" t="inlineStr">
        <is>
          <t>Real-time distribution congestion</t>
        </is>
      </c>
      <c r="C69" s="10" t="inlineStr">
        <is>
          <t>Q6 Dispatch rule and threshold</t>
        </is>
      </c>
      <c r="D6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69" s="10" t="inlineStr">
        <is>
          <t>Mechanism</t>
        </is>
      </c>
      <c r="F69" s="37" t="inlineStr">
        <is>
          <t>Gap</t>
        </is>
      </c>
      <c r="G69" s="10" t="inlineStr">
        <is>
          <t>Core question: locational dispatch rule and threshold.</t>
        </is>
      </c>
    </row>
    <row r="70" ht="39" customHeight="1">
      <c r="A70" s="9" t="inlineStr">
        <is>
          <t>N7</t>
        </is>
      </c>
      <c r="B70" s="9" t="inlineStr">
        <is>
          <t>Real-time distribution congestion</t>
        </is>
      </c>
      <c r="C70" s="10" t="inlineStr">
        <is>
          <t>Q7 Procurement mechanism</t>
        </is>
      </c>
      <c r="D70" s="10" t="inlineStr">
        <is>
          <t>What procurement mechanism best matches each type of grid need: competitive solicitations, reverse auctions, fixed-price procurement, bilaterals, or tariff-based participation?</t>
        </is>
      </c>
      <c r="E70" s="10" t="inlineStr">
        <is>
          <t>Mechanism</t>
        </is>
      </c>
      <c r="F70" s="38" t="inlineStr">
        <is>
          <t>Design</t>
        </is>
      </c>
      <c r="G70" s="10" t="inlineStr">
        <is>
          <t>Tariff-based vs standing contract.</t>
        </is>
      </c>
    </row>
    <row r="71" ht="26" customHeight="1">
      <c r="A71" s="9" t="inlineStr">
        <is>
          <t>N7</t>
        </is>
      </c>
      <c r="B71" s="9" t="inlineStr">
        <is>
          <t>Real-time distribution congestion</t>
        </is>
      </c>
      <c r="C71" s="10" t="inlineStr">
        <is>
          <t>Q8 Max willingness to pay</t>
        </is>
      </c>
      <c r="D71" s="10" t="inlineStr">
        <is>
          <t>How should PG&amp;E determine the maximum amount it is willing to pay for flexibility?</t>
        </is>
      </c>
      <c r="E71" s="10" t="inlineStr">
        <is>
          <t>Value</t>
        </is>
      </c>
      <c r="F71" s="37" t="inlineStr">
        <is>
          <t>Gap</t>
        </is>
      </c>
      <c r="G71" s="10" t="inlineStr">
        <is>
          <t>No anchor beyond unpriced degradation and VOLL.</t>
        </is>
      </c>
    </row>
    <row r="72" ht="26" customHeight="1">
      <c r="A72" s="9" t="inlineStr">
        <is>
          <t>N7</t>
        </is>
      </c>
      <c r="B72" s="9" t="inlineStr">
        <is>
          <t>Real-time distribution congestion</t>
        </is>
      </c>
      <c r="C72" s="10" t="inlineStr">
        <is>
          <t>Q9 Bid evaluation</t>
        </is>
      </c>
      <c r="D72" s="10" t="inlineStr">
        <is>
          <t>How should bids be evaluated and selected when multiple providers can solve the same grid need?</t>
        </is>
      </c>
      <c r="E72" s="10" t="inlineStr">
        <is>
          <t>Mechanism</t>
        </is>
      </c>
      <c r="F72" s="38" t="inlineStr">
        <is>
          <t>Design</t>
        </is>
      </c>
      <c r="G72" s="10" t="inlineStr">
        <is>
          <t>Real-time selection by price and effectiveness.</t>
        </is>
      </c>
    </row>
    <row r="73" ht="26" customHeight="1">
      <c r="A73" s="9" t="inlineStr">
        <is>
          <t>N7</t>
        </is>
      </c>
      <c r="B73" s="9" t="inlineStr">
        <is>
          <t>Real-time distribution congestion</t>
        </is>
      </c>
      <c r="C73" s="10" t="inlineStr">
        <is>
          <t>Q10 Pathway interaction</t>
        </is>
      </c>
      <c r="D73" s="10" t="inlineStr">
        <is>
          <t>How should flexibility procurement interact with other participation pathways?</t>
        </is>
      </c>
      <c r="E73" s="10" t="inlineStr">
        <is>
          <t>Mechanism</t>
        </is>
      </c>
      <c r="F73" s="37" t="inlineStr">
        <is>
          <t>Gap</t>
        </is>
      </c>
      <c r="G73" s="10" t="inlineStr">
        <is>
          <t>Conflicts with CAISO dispatch (dispatch coordination).</t>
        </is>
      </c>
    </row>
    <row r="74">
      <c r="A74" s="9" t="inlineStr">
        <is>
          <t>V1</t>
        </is>
      </c>
      <c r="B74" s="9" t="inlineStr">
        <is>
          <t>Ramp rate</t>
        </is>
      </c>
      <c r="C74" s="10" t="inlineStr">
        <is>
          <t>Q1 Benefits</t>
        </is>
      </c>
      <c r="D74" s="10" t="inlineStr">
        <is>
          <t>What benefits are created by use case?</t>
        </is>
      </c>
      <c r="E74" s="10" t="inlineStr">
        <is>
          <t>Value</t>
        </is>
      </c>
      <c r="F74" s="36" t="inlineStr">
        <is>
          <t>Partial</t>
        </is>
      </c>
      <c r="G74" s="10" t="inlineStr">
        <is>
          <t>Avoided rapid voltage change and flicker; rebound mitigation (G8).</t>
        </is>
      </c>
    </row>
    <row r="75">
      <c r="A75" s="9" t="inlineStr">
        <is>
          <t>V1</t>
        </is>
      </c>
      <c r="B75" s="9" t="inlineStr">
        <is>
          <t>Ramp rate</t>
        </is>
      </c>
      <c r="C75" s="10" t="inlineStr">
        <is>
          <t>Q2 Avoided costs</t>
        </is>
      </c>
      <c r="D75" s="10" t="inlineStr">
        <is>
          <t>What avoided infrastructure and operational costs can be quantified?</t>
        </is>
      </c>
      <c r="E75" s="10" t="inlineStr">
        <is>
          <t>Value</t>
        </is>
      </c>
      <c r="F75" s="37" t="inlineStr">
        <is>
          <t>Gap</t>
        </is>
      </c>
      <c r="G75" s="10" t="inlineStr">
        <is>
          <t>Costs of alternative mitigation not catalogued.</t>
        </is>
      </c>
    </row>
    <row r="76" ht="26" customHeight="1">
      <c r="A76" s="9" t="inlineStr">
        <is>
          <t>V1</t>
        </is>
      </c>
      <c r="B76" s="9" t="inlineStr">
        <is>
          <t>Ramp rate</t>
        </is>
      </c>
      <c r="C76" s="10" t="inlineStr">
        <is>
          <t>Q3 Benefit sharing</t>
        </is>
      </c>
      <c r="D76" s="10" t="inlineStr">
        <is>
          <t>How should benefits and incentives be shared amongst PG&amp;E, aggregators, and customers?</t>
        </is>
      </c>
      <c r="E76" s="10" t="inlineStr">
        <is>
          <t>Mechanism</t>
        </is>
      </c>
      <c r="F76" s="35" t="inlineStr">
        <is>
          <t>Policy</t>
        </is>
      </c>
      <c r="G76" s="10" t="inlineStr">
        <is>
          <t>Default interconnection obligation vs paid service.</t>
        </is>
      </c>
    </row>
    <row r="77" ht="26" customHeight="1">
      <c r="A77" s="9" t="inlineStr">
        <is>
          <t>V1</t>
        </is>
      </c>
      <c r="B77" s="9" t="inlineStr">
        <is>
          <t>Ramp rate</t>
        </is>
      </c>
      <c r="C77" s="10" t="inlineStr">
        <is>
          <t>Q4 Real-time and forward value</t>
        </is>
      </c>
      <c r="D77" s="10" t="inlineStr">
        <is>
          <t>How do we determine the real-time and forward-looking value of flexibility across all grid needs?</t>
        </is>
      </c>
      <c r="E77" s="10" t="inlineStr">
        <is>
          <t>Value</t>
        </is>
      </c>
      <c r="F77" s="37" t="inlineStr">
        <is>
          <t>Gap</t>
        </is>
      </c>
      <c r="G77" s="10" t="inlineStr">
        <is>
          <t>No price.</t>
        </is>
      </c>
    </row>
    <row r="78" ht="39" customHeight="1">
      <c r="A78" s="9" t="inlineStr">
        <is>
          <t>V1</t>
        </is>
      </c>
      <c r="B78" s="9" t="inlineStr">
        <is>
          <t>Ramp rate</t>
        </is>
      </c>
      <c r="C78" s="10" t="inlineStr">
        <is>
          <t>Q5 Fully loaded cost</t>
        </is>
      </c>
      <c r="D78" s="10" t="inlineStr">
        <is>
          <t>How can we accurately calculate the fully loaded cost of each flex resource? What costs should be included beyond incentives? How do these costs vary by technology?</t>
        </is>
      </c>
      <c r="E78" s="10" t="inlineStr">
        <is>
          <t>Cost</t>
        </is>
      </c>
      <c r="F78" s="37" t="inlineStr">
        <is>
          <t>Gap</t>
        </is>
      </c>
      <c r="G78" s="10" t="inlineStr">
        <is>
          <t>Mostly control settings; marginal cost likely low but unmeasured.</t>
        </is>
      </c>
    </row>
    <row r="79" ht="78" customHeight="1">
      <c r="A79" s="9" t="inlineStr">
        <is>
          <t>V1</t>
        </is>
      </c>
      <c r="B79" s="9" t="inlineStr">
        <is>
          <t>Ramp rate</t>
        </is>
      </c>
      <c r="C79" s="10" t="inlineStr">
        <is>
          <t>Q6 Dispatch rule and threshold</t>
        </is>
      </c>
      <c r="D7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79" s="10" t="inlineStr">
        <is>
          <t>Mechanism</t>
        </is>
      </c>
      <c r="F79" s="38" t="inlineStr">
        <is>
          <t>Design</t>
        </is>
      </c>
      <c r="G79" s="10" t="inlineStr">
        <is>
          <t>Staggering rules and aggregate ramp limits in dispatch.</t>
        </is>
      </c>
    </row>
    <row r="80" ht="39" customHeight="1">
      <c r="A80" s="9" t="inlineStr">
        <is>
          <t>V1</t>
        </is>
      </c>
      <c r="B80" s="9" t="inlineStr">
        <is>
          <t>Ramp rate</t>
        </is>
      </c>
      <c r="C80" s="10" t="inlineStr">
        <is>
          <t>Q7 Procurement mechanism</t>
        </is>
      </c>
      <c r="D80" s="10" t="inlineStr">
        <is>
          <t>What procurement mechanism best matches each type of grid need: competitive solicitations, reverse auctions, fixed-price procurement, bilaterals, or tariff-based participation?</t>
        </is>
      </c>
      <c r="E80" s="10" t="inlineStr">
        <is>
          <t>Mechanism</t>
        </is>
      </c>
      <c r="F80" s="38" t="inlineStr">
        <is>
          <t>Design</t>
        </is>
      </c>
      <c r="G80" s="10" t="inlineStr">
        <is>
          <t>Interconnection requirement vs program rule.</t>
        </is>
      </c>
    </row>
    <row r="81" ht="26" customHeight="1">
      <c r="A81" s="9" t="inlineStr">
        <is>
          <t>V1</t>
        </is>
      </c>
      <c r="B81" s="9" t="inlineStr">
        <is>
          <t>Ramp rate</t>
        </is>
      </c>
      <c r="C81" s="10" t="inlineStr">
        <is>
          <t>Q8 Max willingness to pay</t>
        </is>
      </c>
      <c r="D81" s="10" t="inlineStr">
        <is>
          <t>How should PG&amp;E determine the maximum amount it is willing to pay for flexibility?</t>
        </is>
      </c>
      <c r="E81" s="10" t="inlineStr">
        <is>
          <t>Value</t>
        </is>
      </c>
      <c r="F81" s="37" t="inlineStr">
        <is>
          <t>Gap</t>
        </is>
      </c>
      <c r="G81" s="10" t="inlineStr">
        <is>
          <t>No anchor.</t>
        </is>
      </c>
    </row>
    <row r="82" ht="26" customHeight="1">
      <c r="A82" s="9" t="inlineStr">
        <is>
          <t>V1</t>
        </is>
      </c>
      <c r="B82" s="9" t="inlineStr">
        <is>
          <t>Ramp rate</t>
        </is>
      </c>
      <c r="C82" s="10" t="inlineStr">
        <is>
          <t>Q9 Bid evaluation</t>
        </is>
      </c>
      <c r="D82" s="10" t="inlineStr">
        <is>
          <t>How should bids be evaluated and selected when multiple providers can solve the same grid need?</t>
        </is>
      </c>
      <c r="E82" s="10" t="inlineStr">
        <is>
          <t>Mechanism</t>
        </is>
      </c>
      <c r="F82" s="38" t="inlineStr">
        <is>
          <t>Design</t>
        </is>
      </c>
      <c r="G82" s="10" t="inlineStr">
        <is>
          <t>Not typically procured competitively.</t>
        </is>
      </c>
    </row>
    <row r="83" ht="26" customHeight="1">
      <c r="A83" s="9" t="inlineStr">
        <is>
          <t>V1</t>
        </is>
      </c>
      <c r="B83" s="9" t="inlineStr">
        <is>
          <t>Ramp rate</t>
        </is>
      </c>
      <c r="C83" s="10" t="inlineStr">
        <is>
          <t>Q10 Pathway interaction</t>
        </is>
      </c>
      <c r="D83" s="10" t="inlineStr">
        <is>
          <t>How should flexibility procurement interact with other participation pathways?</t>
        </is>
      </c>
      <c r="E83" s="10" t="inlineStr">
        <is>
          <t>Mechanism</t>
        </is>
      </c>
      <c r="F83" s="37" t="inlineStr">
        <is>
          <t>Gap</t>
        </is>
      </c>
      <c r="G83" s="10" t="inlineStr">
        <is>
          <t>Ramp limits vs the response speed markets reward.</t>
        </is>
      </c>
    </row>
    <row r="84">
      <c r="A84" s="9" t="inlineStr">
        <is>
          <t>V2</t>
        </is>
      </c>
      <c r="B84" s="9" t="inlineStr">
        <is>
          <t>Steady-state voltage regulation</t>
        </is>
      </c>
      <c r="C84" s="10" t="inlineStr">
        <is>
          <t>Q1 Benefits</t>
        </is>
      </c>
      <c r="D84" s="10" t="inlineStr">
        <is>
          <t>What benefits are created by use case?</t>
        </is>
      </c>
      <c r="E84" s="10" t="inlineStr">
        <is>
          <t>Value</t>
        </is>
      </c>
      <c r="F84" s="36" t="inlineStr">
        <is>
          <t>Partial</t>
        </is>
      </c>
      <c r="G84" s="10" t="inlineStr">
        <is>
          <t>Hosting capacity and CVR energy savings; not in Dx value streams.</t>
        </is>
      </c>
    </row>
    <row r="85">
      <c r="A85" s="9" t="inlineStr">
        <is>
          <t>V2</t>
        </is>
      </c>
      <c r="B85" s="9" t="inlineStr">
        <is>
          <t>Steady-state voltage regulation</t>
        </is>
      </c>
      <c r="C85" s="10" t="inlineStr">
        <is>
          <t>Q2 Avoided costs</t>
        </is>
      </c>
      <c r="D85" s="10" t="inlineStr">
        <is>
          <t>What avoided infrastructure and operational costs can be quantified?</t>
        </is>
      </c>
      <c r="E85" s="10" t="inlineStr">
        <is>
          <t>Value</t>
        </is>
      </c>
      <c r="F85" s="36" t="inlineStr">
        <is>
          <t>Partial</t>
        </is>
      </c>
      <c r="G85" s="10" t="inlineStr">
        <is>
          <t>Regulator, capacitor and reconductoring costs exist in capital records but are not linked to DER.</t>
        </is>
      </c>
    </row>
    <row r="86" ht="26" customHeight="1">
      <c r="A86" s="9" t="inlineStr">
        <is>
          <t>V2</t>
        </is>
      </c>
      <c r="B86" s="9" t="inlineStr">
        <is>
          <t>Steady-state voltage regulation</t>
        </is>
      </c>
      <c r="C86" s="10" t="inlineStr">
        <is>
          <t>Q3 Benefit sharing</t>
        </is>
      </c>
      <c r="D86" s="10" t="inlineStr">
        <is>
          <t>How should benefits and incentives be shared amongst PG&amp;E, aggregators, and customers?</t>
        </is>
      </c>
      <c r="E86" s="10" t="inlineStr">
        <is>
          <t>Mechanism</t>
        </is>
      </c>
      <c r="F86" s="35" t="inlineStr">
        <is>
          <t>Policy</t>
        </is>
      </c>
      <c r="G86" s="10" t="inlineStr">
        <is>
          <t>Default Volt-VAR is uncompensated; reactive priority can curtail customer real-power export.</t>
        </is>
      </c>
    </row>
    <row r="87" ht="26" customHeight="1">
      <c r="A87" s="9" t="inlineStr">
        <is>
          <t>V2</t>
        </is>
      </c>
      <c r="B87" s="9" t="inlineStr">
        <is>
          <t>Steady-state voltage regulation</t>
        </is>
      </c>
      <c r="C87" s="10" t="inlineStr">
        <is>
          <t>Q4 Real-time and forward value</t>
        </is>
      </c>
      <c r="D87" s="10" t="inlineStr">
        <is>
          <t>How do we determine the real-time and forward-looking value of flexibility across all grid needs?</t>
        </is>
      </c>
      <c r="E87" s="10" t="inlineStr">
        <is>
          <t>Value</t>
        </is>
      </c>
      <c r="F87" s="37" t="inlineStr">
        <is>
          <t>Gap</t>
        </is>
      </c>
      <c r="G87" s="10" t="inlineStr">
        <is>
          <t>Voltage term of the shadow price not computed.</t>
        </is>
      </c>
    </row>
    <row r="88" ht="39" customHeight="1">
      <c r="A88" s="9" t="inlineStr">
        <is>
          <t>V2</t>
        </is>
      </c>
      <c r="B88" s="9" t="inlineStr">
        <is>
          <t>Steady-state voltage regulation</t>
        </is>
      </c>
      <c r="C88" s="10" t="inlineStr">
        <is>
          <t>Q5 Fully loaded cost</t>
        </is>
      </c>
      <c r="D88" s="10" t="inlineStr">
        <is>
          <t>How can we accurately calculate the fully loaded cost of each flex resource? What costs should be included beyond incentives? How do these costs vary by technology?</t>
        </is>
      </c>
      <c r="E88" s="10" t="inlineStr">
        <is>
          <t>Cost</t>
        </is>
      </c>
      <c r="F88" s="37" t="inlineStr">
        <is>
          <t>Gap</t>
        </is>
      </c>
      <c r="G88" s="10" t="inlineStr">
        <is>
          <t>Includes lost real-power export under reactive priority.</t>
        </is>
      </c>
    </row>
    <row r="89" ht="78" customHeight="1">
      <c r="A89" s="9" t="inlineStr">
        <is>
          <t>V2</t>
        </is>
      </c>
      <c r="B89" s="9" t="inlineStr">
        <is>
          <t>Steady-state voltage regulation</t>
        </is>
      </c>
      <c r="C89" s="10" t="inlineStr">
        <is>
          <t>Q6 Dispatch rule and threshold</t>
        </is>
      </c>
      <c r="D8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89" s="10" t="inlineStr">
        <is>
          <t>Mechanism</t>
        </is>
      </c>
      <c r="F89" s="38" t="inlineStr">
        <is>
          <t>Design</t>
        </is>
      </c>
      <c r="G89" s="10" t="inlineStr">
        <is>
          <t>DERMS setpoints vs autonomous curves.</t>
        </is>
      </c>
    </row>
    <row r="90" ht="39" customHeight="1">
      <c r="A90" s="9" t="inlineStr">
        <is>
          <t>V2</t>
        </is>
      </c>
      <c r="B90" s="9" t="inlineStr">
        <is>
          <t>Steady-state voltage regulation</t>
        </is>
      </c>
      <c r="C90" s="10" t="inlineStr">
        <is>
          <t>Q7 Procurement mechanism</t>
        </is>
      </c>
      <c r="D90" s="10" t="inlineStr">
        <is>
          <t>What procurement mechanism best matches each type of grid need: competitive solicitations, reverse auctions, fixed-price procurement, bilaterals, or tariff-based participation?</t>
        </is>
      </c>
      <c r="E90" s="10" t="inlineStr">
        <is>
          <t>Mechanism</t>
        </is>
      </c>
      <c r="F90" s="38" t="inlineStr">
        <is>
          <t>Design</t>
        </is>
      </c>
      <c r="G90" s="10" t="inlineStr">
        <is>
          <t>Interconnection default plus paid incremental.</t>
        </is>
      </c>
    </row>
    <row r="91" ht="26" customHeight="1">
      <c r="A91" s="9" t="inlineStr">
        <is>
          <t>V2</t>
        </is>
      </c>
      <c r="B91" s="9" t="inlineStr">
        <is>
          <t>Steady-state voltage regulation</t>
        </is>
      </c>
      <c r="C91" s="10" t="inlineStr">
        <is>
          <t>Q8 Max willingness to pay</t>
        </is>
      </c>
      <c r="D91" s="10" t="inlineStr">
        <is>
          <t>How should PG&amp;E determine the maximum amount it is willing to pay for flexibility?</t>
        </is>
      </c>
      <c r="E91" s="10" t="inlineStr">
        <is>
          <t>Value</t>
        </is>
      </c>
      <c r="F91" s="36" t="inlineStr">
        <is>
          <t>Partial</t>
        </is>
      </c>
      <c r="G91" s="10" t="inlineStr">
        <is>
          <t>Cost of regulators and capacitor banks as ceiling.</t>
        </is>
      </c>
    </row>
    <row r="92" ht="26" customHeight="1">
      <c r="A92" s="9" t="inlineStr">
        <is>
          <t>V2</t>
        </is>
      </c>
      <c r="B92" s="9" t="inlineStr">
        <is>
          <t>Steady-state voltage regulation</t>
        </is>
      </c>
      <c r="C92" s="10" t="inlineStr">
        <is>
          <t>Q9 Bid evaluation</t>
        </is>
      </c>
      <c r="D92" s="10" t="inlineStr">
        <is>
          <t>How should bids be evaluated and selected when multiple providers can solve the same grid need?</t>
        </is>
      </c>
      <c r="E92" s="10" t="inlineStr">
        <is>
          <t>Mechanism</t>
        </is>
      </c>
      <c r="F92" s="37" t="inlineStr">
        <is>
          <t>Gap</t>
        </is>
      </c>
      <c r="G92" s="10" t="inlineStr">
        <is>
          <t>Needs voltage sensitivity (dV/dQ) by location to compare offers.</t>
        </is>
      </c>
    </row>
    <row r="93" ht="26" customHeight="1">
      <c r="A93" s="9" t="inlineStr">
        <is>
          <t>V2</t>
        </is>
      </c>
      <c r="B93" s="9" t="inlineStr">
        <is>
          <t>Steady-state voltage regulation</t>
        </is>
      </c>
      <c r="C93" s="10" t="inlineStr">
        <is>
          <t>Q10 Pathway interaction</t>
        </is>
      </c>
      <c r="D93" s="10" t="inlineStr">
        <is>
          <t>How should flexibility procurement interact with other participation pathways?</t>
        </is>
      </c>
      <c r="E93" s="10" t="inlineStr">
        <is>
          <t>Mechanism</t>
        </is>
      </c>
      <c r="F93" s="37" t="inlineStr">
        <is>
          <t>Gap</t>
        </is>
      </c>
      <c r="G93" s="10" t="inlineStr">
        <is>
          <t>Interaction with export limits (G6) and NBT exports.</t>
        </is>
      </c>
    </row>
    <row r="94">
      <c r="A94" s="9" t="inlineStr">
        <is>
          <t>V3</t>
        </is>
      </c>
      <c r="B94" s="9" t="inlineStr">
        <is>
          <t>Grid-forming, dynamic at the PCC</t>
        </is>
      </c>
      <c r="C94" s="10" t="inlineStr">
        <is>
          <t>Q1 Benefits</t>
        </is>
      </c>
      <c r="D94" s="10" t="inlineStr">
        <is>
          <t>What benefits are created by use case?</t>
        </is>
      </c>
      <c r="E94" s="10" t="inlineStr">
        <is>
          <t>Value</t>
        </is>
      </c>
      <c r="F94" s="37" t="inlineStr">
        <is>
          <t>Gap</t>
        </is>
      </c>
      <c r="G94" s="10" t="inlineStr">
        <is>
          <t>Resilience, microgrid and system-strength value unquantified.</t>
        </is>
      </c>
    </row>
    <row r="95">
      <c r="A95" s="9" t="inlineStr">
        <is>
          <t>V3</t>
        </is>
      </c>
      <c r="B95" s="9" t="inlineStr">
        <is>
          <t>Grid-forming, dynamic at the PCC</t>
        </is>
      </c>
      <c r="C95" s="10" t="inlineStr">
        <is>
          <t>Q2 Avoided costs</t>
        </is>
      </c>
      <c r="D95" s="10" t="inlineStr">
        <is>
          <t>What avoided infrastructure and operational costs can be quantified?</t>
        </is>
      </c>
      <c r="E95" s="10" t="inlineStr">
        <is>
          <t>Value</t>
        </is>
      </c>
      <c r="F95" s="37" t="inlineStr">
        <is>
          <t>Gap</t>
        </is>
      </c>
      <c r="G95" s="10" t="inlineStr">
        <is>
          <t>Alternative-device costs not catalogued.</t>
        </is>
      </c>
    </row>
    <row r="96" ht="26" customHeight="1">
      <c r="A96" s="9" t="inlineStr">
        <is>
          <t>V3</t>
        </is>
      </c>
      <c r="B96" s="9" t="inlineStr">
        <is>
          <t>Grid-forming, dynamic at the PCC</t>
        </is>
      </c>
      <c r="C96" s="10" t="inlineStr">
        <is>
          <t>Q3 Benefit sharing</t>
        </is>
      </c>
      <c r="D96" s="10" t="inlineStr">
        <is>
          <t>How should benefits and incentives be shared amongst PG&amp;E, aggregators, and customers?</t>
        </is>
      </c>
      <c r="E96" s="10" t="inlineStr">
        <is>
          <t>Mechanism</t>
        </is>
      </c>
      <c r="F96" s="35" t="inlineStr">
        <is>
          <t>Policy</t>
        </is>
      </c>
      <c r="G96" s="10" t="inlineStr">
        <is>
          <t>Requirement vs paid capability.</t>
        </is>
      </c>
    </row>
    <row r="97" ht="26" customHeight="1">
      <c r="A97" s="9" t="inlineStr">
        <is>
          <t>V3</t>
        </is>
      </c>
      <c r="B97" s="9" t="inlineStr">
        <is>
          <t>Grid-forming, dynamic at the PCC</t>
        </is>
      </c>
      <c r="C97" s="10" t="inlineStr">
        <is>
          <t>Q4 Real-time and forward value</t>
        </is>
      </c>
      <c r="D97" s="10" t="inlineStr">
        <is>
          <t>How do we determine the real-time and forward-looking value of flexibility across all grid needs?</t>
        </is>
      </c>
      <c r="E97" s="10" t="inlineStr">
        <is>
          <t>Value</t>
        </is>
      </c>
      <c r="F97" s="37" t="inlineStr">
        <is>
          <t>Gap</t>
        </is>
      </c>
      <c r="G97" s="10" t="inlineStr">
        <is>
          <t>No price.</t>
        </is>
      </c>
    </row>
    <row r="98" ht="39" customHeight="1">
      <c r="A98" s="9" t="inlineStr">
        <is>
          <t>V3</t>
        </is>
      </c>
      <c r="B98" s="9" t="inlineStr">
        <is>
          <t>Grid-forming, dynamic at the PCC</t>
        </is>
      </c>
      <c r="C98" s="10" t="inlineStr">
        <is>
          <t>Q5 Fully loaded cost</t>
        </is>
      </c>
      <c r="D98" s="10" t="inlineStr">
        <is>
          <t>How can we accurately calculate the fully loaded cost of each flex resource? What costs should be included beyond incentives? How do these costs vary by technology?</t>
        </is>
      </c>
      <c r="E98" s="10" t="inlineStr">
        <is>
          <t>Cost</t>
        </is>
      </c>
      <c r="F98" s="37" t="inlineStr">
        <is>
          <t>Gap</t>
        </is>
      </c>
      <c r="G98" s="10" t="inlineStr">
        <is>
          <t>Inverter cost premium and reserved headroom unmeasured.</t>
        </is>
      </c>
    </row>
    <row r="99" ht="78" customHeight="1">
      <c r="A99" s="9" t="inlineStr">
        <is>
          <t>V3</t>
        </is>
      </c>
      <c r="B99" s="9" t="inlineStr">
        <is>
          <t>Grid-forming, dynamic at the PCC</t>
        </is>
      </c>
      <c r="C99" s="10" t="inlineStr">
        <is>
          <t>Q6 Dispatch rule and threshold</t>
        </is>
      </c>
      <c r="D9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99" s="10" t="inlineStr">
        <is>
          <t>Mechanism</t>
        </is>
      </c>
      <c r="F99" s="38" t="inlineStr">
        <is>
          <t>Design</t>
        </is>
      </c>
      <c r="G99" s="10" t="inlineStr">
        <is>
          <t>Autonomous; no dispatch.</t>
        </is>
      </c>
    </row>
    <row r="100" ht="39" customHeight="1">
      <c r="A100" s="9" t="inlineStr">
        <is>
          <t>V3</t>
        </is>
      </c>
      <c r="B100" s="9" t="inlineStr">
        <is>
          <t>Grid-forming, dynamic at the PCC</t>
        </is>
      </c>
      <c r="C100" s="10" t="inlineStr">
        <is>
          <t>Q7 Procurement mechanism</t>
        </is>
      </c>
      <c r="D100" s="10" t="inlineStr">
        <is>
          <t>What procurement mechanism best matches each type of grid need: competitive solicitations, reverse auctions, fixed-price procurement, bilaterals, or tariff-based participation?</t>
        </is>
      </c>
      <c r="E100" s="10" t="inlineStr">
        <is>
          <t>Mechanism</t>
        </is>
      </c>
      <c r="F100" s="38" t="inlineStr">
        <is>
          <t>Design</t>
        </is>
      </c>
      <c r="G100" s="10" t="inlineStr">
        <is>
          <t>Standard or requirement vs targeted contract.</t>
        </is>
      </c>
    </row>
    <row r="101" ht="26" customHeight="1">
      <c r="A101" s="9" t="inlineStr">
        <is>
          <t>V3</t>
        </is>
      </c>
      <c r="B101" s="9" t="inlineStr">
        <is>
          <t>Grid-forming, dynamic at the PCC</t>
        </is>
      </c>
      <c r="C101" s="10" t="inlineStr">
        <is>
          <t>Q8 Max willingness to pay</t>
        </is>
      </c>
      <c r="D101" s="10" t="inlineStr">
        <is>
          <t>How should PG&amp;E determine the maximum amount it is willing to pay for flexibility?</t>
        </is>
      </c>
      <c r="E101" s="10" t="inlineStr">
        <is>
          <t>Value</t>
        </is>
      </c>
      <c r="F101" s="37" t="inlineStr">
        <is>
          <t>Gap</t>
        </is>
      </c>
      <c r="G101" s="10" t="inlineStr">
        <is>
          <t>Anchor on cost of alternative devices, not yet estimated.</t>
        </is>
      </c>
    </row>
    <row r="102" ht="26" customHeight="1">
      <c r="A102" s="9" t="inlineStr">
        <is>
          <t>V3</t>
        </is>
      </c>
      <c r="B102" s="9" t="inlineStr">
        <is>
          <t>Grid-forming, dynamic at the PCC</t>
        </is>
      </c>
      <c r="C102" s="10" t="inlineStr">
        <is>
          <t>Q9 Bid evaluation</t>
        </is>
      </c>
      <c r="D102" s="10" t="inlineStr">
        <is>
          <t>How should bids be evaluated and selected when multiple providers can solve the same grid need?</t>
        </is>
      </c>
      <c r="E102" s="10" t="inlineStr">
        <is>
          <t>Mechanism</t>
        </is>
      </c>
      <c r="F102" s="37" t="inlineStr">
        <is>
          <t>Gap</t>
        </is>
      </c>
      <c r="G102" s="10" t="inlineStr">
        <is>
          <t>No evaluation method.</t>
        </is>
      </c>
    </row>
    <row r="103" ht="26" customHeight="1">
      <c r="A103" s="9" t="inlineStr">
        <is>
          <t>V3</t>
        </is>
      </c>
      <c r="B103" s="9" t="inlineStr">
        <is>
          <t>Grid-forming, dynamic at the PCC</t>
        </is>
      </c>
      <c r="C103" s="10" t="inlineStr">
        <is>
          <t>Q10 Pathway interaction</t>
        </is>
      </c>
      <c r="D103" s="10" t="inlineStr">
        <is>
          <t>How should flexibility procurement interact with other participation pathways?</t>
        </is>
      </c>
      <c r="E103" s="10" t="inlineStr">
        <is>
          <t>Mechanism</t>
        </is>
      </c>
      <c r="F103" s="37" t="inlineStr">
        <is>
          <t>Gap</t>
        </is>
      </c>
      <c r="G103" s="10" t="inlineStr">
        <is>
          <t>Interaction with islanding and backup modes.</t>
        </is>
      </c>
    </row>
    <row r="104">
      <c r="A104" s="9" t="inlineStr">
        <is>
          <t>V4</t>
        </is>
      </c>
      <c r="B104" s="9" t="inlineStr">
        <is>
          <t>Grid-forming on broader grid signals</t>
        </is>
      </c>
      <c r="C104" s="10" t="inlineStr">
        <is>
          <t>Q1 Benefits</t>
        </is>
      </c>
      <c r="D104" s="10" t="inlineStr">
        <is>
          <t>What benefits are created by use case?</t>
        </is>
      </c>
      <c r="E104" s="10" t="inlineStr">
        <is>
          <t>Value</t>
        </is>
      </c>
      <c r="F104" s="37" t="inlineStr">
        <is>
          <t>Gap</t>
        </is>
      </c>
      <c r="G104" s="10" t="inlineStr">
        <is>
          <t>Unquantified.</t>
        </is>
      </c>
    </row>
    <row r="105">
      <c r="A105" s="9" t="inlineStr">
        <is>
          <t>V4</t>
        </is>
      </c>
      <c r="B105" s="9" t="inlineStr">
        <is>
          <t>Grid-forming on broader grid signals</t>
        </is>
      </c>
      <c r="C105" s="10" t="inlineStr">
        <is>
          <t>Q2 Avoided costs</t>
        </is>
      </c>
      <c r="D105" s="10" t="inlineStr">
        <is>
          <t>What avoided infrastructure and operational costs can be quantified?</t>
        </is>
      </c>
      <c r="E105" s="10" t="inlineStr">
        <is>
          <t>Value</t>
        </is>
      </c>
      <c r="F105" s="37" t="inlineStr">
        <is>
          <t>Gap</t>
        </is>
      </c>
      <c r="G105" s="10" t="inlineStr">
        <is>
          <t>Unquantified.</t>
        </is>
      </c>
    </row>
    <row r="106" ht="26" customHeight="1">
      <c r="A106" s="9" t="inlineStr">
        <is>
          <t>V4</t>
        </is>
      </c>
      <c r="B106" s="9" t="inlineStr">
        <is>
          <t>Grid-forming on broader grid signals</t>
        </is>
      </c>
      <c r="C106" s="10" t="inlineStr">
        <is>
          <t>Q3 Benefit sharing</t>
        </is>
      </c>
      <c r="D106" s="10" t="inlineStr">
        <is>
          <t>How should benefits and incentives be shared amongst PG&amp;E, aggregators, and customers?</t>
        </is>
      </c>
      <c r="E106" s="10" t="inlineStr">
        <is>
          <t>Mechanism</t>
        </is>
      </c>
      <c r="F106" s="35" t="inlineStr">
        <is>
          <t>Policy</t>
        </is>
      </c>
      <c r="G106" s="10" t="inlineStr">
        <is>
          <t>Requirement vs paid capability.</t>
        </is>
      </c>
    </row>
    <row r="107" ht="26" customHeight="1">
      <c r="A107" s="9" t="inlineStr">
        <is>
          <t>V4</t>
        </is>
      </c>
      <c r="B107" s="9" t="inlineStr">
        <is>
          <t>Grid-forming on broader grid signals</t>
        </is>
      </c>
      <c r="C107" s="10" t="inlineStr">
        <is>
          <t>Q4 Real-time and forward value</t>
        </is>
      </c>
      <c r="D107" s="10" t="inlineStr">
        <is>
          <t>How do we determine the real-time and forward-looking value of flexibility across all grid needs?</t>
        </is>
      </c>
      <c r="E107" s="10" t="inlineStr">
        <is>
          <t>Value</t>
        </is>
      </c>
      <c r="F107" s="37" t="inlineStr">
        <is>
          <t>Gap</t>
        </is>
      </c>
      <c r="G107" s="10" t="inlineStr">
        <is>
          <t>No price.</t>
        </is>
      </c>
    </row>
    <row r="108" ht="39" customHeight="1">
      <c r="A108" s="9" t="inlineStr">
        <is>
          <t>V4</t>
        </is>
      </c>
      <c r="B108" s="9" t="inlineStr">
        <is>
          <t>Grid-forming on broader grid signals</t>
        </is>
      </c>
      <c r="C108" s="10" t="inlineStr">
        <is>
          <t>Q5 Fully loaded cost</t>
        </is>
      </c>
      <c r="D108" s="10" t="inlineStr">
        <is>
          <t>How can we accurately calculate the fully loaded cost of each flex resource? What costs should be included beyond incentives? How do these costs vary by technology?</t>
        </is>
      </c>
      <c r="E108" s="10" t="inlineStr">
        <is>
          <t>Cost</t>
        </is>
      </c>
      <c r="F108" s="37" t="inlineStr">
        <is>
          <t>Gap</t>
        </is>
      </c>
      <c r="G108" s="10" t="inlineStr">
        <is>
          <t>Adds DERMS, communications and telemetry cost.</t>
        </is>
      </c>
    </row>
    <row r="109" ht="78" customHeight="1">
      <c r="A109" s="9" t="inlineStr">
        <is>
          <t>V4</t>
        </is>
      </c>
      <c r="B109" s="9" t="inlineStr">
        <is>
          <t>Grid-forming on broader grid signals</t>
        </is>
      </c>
      <c r="C109" s="10" t="inlineStr">
        <is>
          <t>Q6 Dispatch rule and threshold</t>
        </is>
      </c>
      <c r="D109" s="10" t="inlineStr">
        <is>
          <t>What dispatch optimization framework maximizes net system benefits while ensuring downward rate pressure? Should dispatch decisions be based on benefit-cost ratios, avoided-cost metrics, locational value, or another optimization methodology? What minimum net-benefit threshold should resources meet before being dispatched?</t>
        </is>
      </c>
      <c r="E109" s="10" t="inlineStr">
        <is>
          <t>Mechanism</t>
        </is>
      </c>
      <c r="F109" s="37" t="inlineStr">
        <is>
          <t>Gap</t>
        </is>
      </c>
      <c r="G109" s="10" t="inlineStr">
        <is>
          <t>Control architecture undefined.</t>
        </is>
      </c>
    </row>
    <row r="110" ht="39" customHeight="1">
      <c r="A110" s="9" t="inlineStr">
        <is>
          <t>V4</t>
        </is>
      </c>
      <c r="B110" s="9" t="inlineStr">
        <is>
          <t>Grid-forming on broader grid signals</t>
        </is>
      </c>
      <c r="C110" s="10" t="inlineStr">
        <is>
          <t>Q7 Procurement mechanism</t>
        </is>
      </c>
      <c r="D110" s="10" t="inlineStr">
        <is>
          <t>What procurement mechanism best matches each type of grid need: competitive solicitations, reverse auctions, fixed-price procurement, bilaterals, or tariff-based participation?</t>
        </is>
      </c>
      <c r="E110" s="10" t="inlineStr">
        <is>
          <t>Mechanism</t>
        </is>
      </c>
      <c r="F110" s="38" t="inlineStr">
        <is>
          <t>Design</t>
        </is>
      </c>
      <c r="G110" s="10" t="inlineStr">
        <is>
          <t>Bilateral or pilot.</t>
        </is>
      </c>
    </row>
    <row r="111" ht="26" customHeight="1">
      <c r="A111" s="9" t="inlineStr">
        <is>
          <t>V4</t>
        </is>
      </c>
      <c r="B111" s="9" t="inlineStr">
        <is>
          <t>Grid-forming on broader grid signals</t>
        </is>
      </c>
      <c r="C111" s="10" t="inlineStr">
        <is>
          <t>Q8 Max willingness to pay</t>
        </is>
      </c>
      <c r="D111" s="10" t="inlineStr">
        <is>
          <t>How should PG&amp;E determine the maximum amount it is willing to pay for flexibility?</t>
        </is>
      </c>
      <c r="E111" s="10" t="inlineStr">
        <is>
          <t>Value</t>
        </is>
      </c>
      <c r="F111" s="37" t="inlineStr">
        <is>
          <t>Gap</t>
        </is>
      </c>
      <c r="G111" s="10" t="inlineStr">
        <is>
          <t>No anchor.</t>
        </is>
      </c>
    </row>
    <row r="112" ht="26" customHeight="1">
      <c r="A112" s="9" t="inlineStr">
        <is>
          <t>V4</t>
        </is>
      </c>
      <c r="B112" s="9" t="inlineStr">
        <is>
          <t>Grid-forming on broader grid signals</t>
        </is>
      </c>
      <c r="C112" s="10" t="inlineStr">
        <is>
          <t>Q9 Bid evaluation</t>
        </is>
      </c>
      <c r="D112" s="10" t="inlineStr">
        <is>
          <t>How should bids be evaluated and selected when multiple providers can solve the same grid need?</t>
        </is>
      </c>
      <c r="E112" s="10" t="inlineStr">
        <is>
          <t>Mechanism</t>
        </is>
      </c>
      <c r="F112" s="37" t="inlineStr">
        <is>
          <t>Gap</t>
        </is>
      </c>
      <c r="G112" s="10" t="inlineStr">
        <is>
          <t>No evaluation method.</t>
        </is>
      </c>
    </row>
    <row r="113" ht="26" customHeight="1">
      <c r="A113" s="9" t="inlineStr">
        <is>
          <t>V4</t>
        </is>
      </c>
      <c r="B113" s="9" t="inlineStr">
        <is>
          <t>Grid-forming on broader grid signals</t>
        </is>
      </c>
      <c r="C113" s="10" t="inlineStr">
        <is>
          <t>Q10 Pathway interaction</t>
        </is>
      </c>
      <c r="D113" s="10" t="inlineStr">
        <is>
          <t>How should flexibility procurement interact with other participation pathways?</t>
        </is>
      </c>
      <c r="E113" s="10" t="inlineStr">
        <is>
          <t>Mechanism</t>
        </is>
      </c>
      <c r="F113" s="37" t="inlineStr">
        <is>
          <t>Gap</t>
        </is>
      </c>
      <c r="G113" s="10" t="inlineStr">
        <is>
          <t>Interaction with CAISO dispatch and local controls.</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N17"/>
  <sheetViews>
    <sheetView zoomScale="165" zoomScaleNormal="100" workbookViewId="0">
      <pane xSplit="2" ySplit="3" topLeftCell="C10" activePane="bottomRight" state="frozen"/>
      <selection pane="topRight" activeCell="C1" sqref="C1"/>
      <selection pane="bottomLeft" activeCell="A4" sqref="A4"/>
      <selection pane="bottomRight" activeCell="E16" sqref="E16"/>
    </sheetView>
  </sheetViews>
  <sheetFormatPr baseColWidth="10" defaultColWidth="8.6640625" defaultRowHeight="15"/>
  <cols>
    <col width="5" customWidth="1" min="1" max="1"/>
    <col width="24" customWidth="1" min="2" max="2"/>
    <col width="18" customWidth="1" min="3" max="3"/>
    <col width="36" customWidth="1" min="4" max="4"/>
    <col width="26" customWidth="1" min="5" max="5"/>
    <col width="22" customWidth="1" min="6" max="6"/>
    <col width="24" customWidth="1" min="7" max="7"/>
    <col width="22" customWidth="1" min="8" max="9"/>
    <col width="20" customWidth="1" min="10" max="10"/>
    <col width="22" customWidth="1" min="11" max="11"/>
    <col width="30" customWidth="1" min="12" max="12"/>
    <col width="36" customWidth="1" min="13" max="13"/>
    <col width="30" customWidth="1" min="14" max="14"/>
  </cols>
  <sheetData>
    <row r="1" ht="17" customHeight="1">
      <c r="A1" s="2" t="inlineStr">
        <is>
          <t>Fully loaded cost: components by quadrant and technology</t>
        </is>
      </c>
    </row>
    <row r="2">
      <c r="A2" s="3" t="inlineStr">
        <is>
          <t>Quadrants: upfront vs ongoing × fixed vs variable. Variable costs are split by driver: enrollment (scales with participants or kW enrolled) or dispatch (scales with events or kWh). Source keys on Flex - Cost sources.</t>
        </is>
      </c>
    </row>
    <row r="3" ht="30" customHeight="1">
      <c r="A3" s="8" t="inlineStr">
        <is>
          <t>ID</t>
        </is>
      </c>
      <c r="B3" s="8" t="inlineStr">
        <is>
          <t>Cost component</t>
        </is>
      </c>
      <c r="C3" s="8" t="inlineStr">
        <is>
          <t>Quadrant</t>
        </is>
      </c>
      <c r="D3" s="8" t="inlineStr">
        <is>
          <t>Definition</t>
        </is>
      </c>
      <c r="E3" s="8" t="inlineStr">
        <is>
          <t>In CA DR CE protocols?</t>
        </is>
      </c>
      <c r="F3" s="8" t="inlineStr">
        <is>
          <t>Smart thermostats</t>
        </is>
      </c>
      <c r="G3" s="8" t="inlineStr">
        <is>
          <t>Battery storage</t>
        </is>
      </c>
      <c r="H3" s="8" t="inlineStr">
        <is>
          <t>EV managed charging (V1G)</t>
        </is>
      </c>
      <c r="I3" s="8" t="inlineStr">
        <is>
          <t>Bidirectional EV / V2G</t>
        </is>
      </c>
      <c r="J3" s="8" t="inlineStr">
        <is>
          <t>C&amp;I curtailment</t>
        </is>
      </c>
      <c r="K3" s="8" t="inlineStr">
        <is>
          <t>Large load (speed-to-power)</t>
        </is>
      </c>
      <c r="L3" s="8" t="inlineStr">
        <is>
          <t>Benchmarks (source key)</t>
        </is>
      </c>
      <c r="M3" s="8" t="inlineStr">
        <is>
          <t>Gap / note</t>
        </is>
      </c>
      <c r="N3" s="8" t="inlineStr">
        <is>
          <t>Varies with incrementality?</t>
        </is>
      </c>
    </row>
    <row r="4" ht="26" customHeight="1">
      <c r="A4" s="9" t="inlineStr">
        <is>
          <t>C1</t>
        </is>
      </c>
      <c r="B4" s="9" t="inlineStr">
        <is>
          <t>Program start-up</t>
        </is>
      </c>
      <c r="C4" s="38" t="inlineStr">
        <is>
          <t>Upfront · Fixed</t>
        </is>
      </c>
      <c r="D4" s="10" t="inlineStr">
        <is>
          <t>One-time cost to design, file and launch a program, independent of enrollment.</t>
        </is>
      </c>
      <c r="E4" s="10" t="inlineStr">
        <is>
          <t>Partial: admin costs counted, start-up not broken out</t>
        </is>
      </c>
      <c r="F4" s="10" t="inlineStr">
        <is>
          <t>Shared program cost</t>
        </is>
      </c>
      <c r="G4" s="10" t="inlineStr">
        <is>
          <t>Shared program cost</t>
        </is>
      </c>
      <c r="H4" s="10" t="inlineStr">
        <is>
          <t>Shared program cost</t>
        </is>
      </c>
      <c r="I4" s="10" t="inlineStr">
        <is>
          <t>Shared program cost</t>
        </is>
      </c>
      <c r="J4" s="10" t="inlineStr">
        <is>
          <t>Shared program cost</t>
        </is>
      </c>
      <c r="K4" s="10" t="inlineStr">
        <is>
          <t>Utility tariff/contract design</t>
        </is>
      </c>
      <c r="L4" s="10" t="inlineStr">
        <is>
          <t>$75k per program (S2)</t>
        </is>
      </c>
      <c r="M4" s="10" t="inlineStr">
        <is>
          <t>Small per kW at scale; material for pilots and bridge-to-wires offers.</t>
        </is>
      </c>
      <c r="N4" s="10" t="inlineStr">
        <is>
          <t>No</t>
        </is>
      </c>
    </row>
    <row r="5" ht="39" customHeight="1">
      <c r="A5" s="9" t="inlineStr">
        <is>
          <t>C2</t>
        </is>
      </c>
      <c r="B5" s="9" t="inlineStr">
        <is>
          <t>Utility platform and integration</t>
        </is>
      </c>
      <c r="C5" s="38" t="inlineStr">
        <is>
          <t>Upfront · Fixed</t>
        </is>
      </c>
      <c r="D5" s="10" t="inlineStr">
        <is>
          <t>DERMS/ADMS integration, DR management system, CAISO registration and settlement systems built for the program portfolio.</t>
        </is>
      </c>
      <c r="E5" s="10" t="inlineStr">
        <is>
          <t>Yes: DRMS costs included even when approved in a GRC (S1)</t>
        </is>
      </c>
      <c r="F5" s="10" t="inlineStr">
        <is>
          <t>Shared</t>
        </is>
      </c>
      <c r="G5" s="10" t="inlineStr">
        <is>
          <t>Shared; heavier telemetry for export and locational dispatch</t>
        </is>
      </c>
      <c r="H5" s="10" t="inlineStr">
        <is>
          <t>Shared; OEM/telematics APIs</t>
        </is>
      </c>
      <c r="I5" s="10" t="inlineStr">
        <is>
          <t>Shared; bidirectional control and Rule 21 data</t>
        </is>
      </c>
      <c r="J5" s="10" t="inlineStr">
        <is>
          <t>Shared</t>
        </is>
      </c>
      <c r="K5" s="10" t="inlineStr">
        <is>
          <t>Site-specific control interface</t>
        </is>
      </c>
      <c r="L5" s="10" t="inlineStr">
        <is>
          <t>&lt;$1M upfront for a basic VPP; &lt;$500k for National Grid ConnectedSolutions (S3)</t>
        </is>
      </c>
      <c r="M5" s="10" t="inlineStr">
        <is>
          <t>Allocation across programs drives per-kW results; locational dispatch (N4–N7) needs more than a basic VPP platform.</t>
        </is>
      </c>
      <c r="N5" s="10" t="inlineStr">
        <is>
          <t>No</t>
        </is>
      </c>
    </row>
    <row r="6" ht="26" customHeight="1">
      <c r="A6" s="9" t="inlineStr">
        <is>
          <t>C3</t>
        </is>
      </c>
      <c r="B6" s="9" t="inlineStr">
        <is>
          <t>Customer acquisition and marketing</t>
        </is>
      </c>
      <c r="C6" s="39" t="inlineStr">
        <is>
          <t>Upfront · Variable (enrollment)</t>
        </is>
      </c>
      <c r="D6" s="10" t="inlineStr">
        <is>
          <t>Cost to recruit each participant: marketing, outreach, enrollment processing.</t>
        </is>
      </c>
      <c r="E6" s="10" t="inlineStr">
        <is>
          <t>Yes: ME&amp;O allocated as support cost (S1)</t>
        </is>
      </c>
      <c r="F6" s="10" t="inlineStr">
        <is>
          <t>Low with BYOT and point-of-sale enrollment</t>
        </is>
      </c>
      <c r="G6" s="10" t="inlineStr">
        <is>
          <t>Often bundled with installer sale</t>
        </is>
      </c>
      <c r="H6" s="10" t="inlineStr">
        <is>
          <t>Low via OEM/charger enrollment</t>
        </is>
      </c>
      <c r="I6" s="10" t="inlineStr">
        <is>
          <t>High: few eligible vehicles</t>
        </is>
      </c>
      <c r="J6" s="10" t="inlineStr">
        <is>
          <t>Account-managed; aggregator sales cost</t>
        </is>
      </c>
      <c r="K6" s="10" t="inlineStr">
        <is>
          <t>Bilateral transaction costs</t>
        </is>
      </c>
      <c r="L6" s="10" t="inlineStr">
        <is>
          <t>$50 per participant (S2, S3)</t>
        </is>
      </c>
      <c r="M6" s="10" t="inlineStr">
        <is>
          <t>Recurs with attrition (see C12).</t>
        </is>
      </c>
      <c r="N6" s="10" t="inlineStr">
        <is>
          <t>Yes: lower for existing devices</t>
        </is>
      </c>
    </row>
    <row r="7" ht="39" customHeight="1">
      <c r="A7" s="9" t="inlineStr">
        <is>
          <t>C4</t>
        </is>
      </c>
      <c r="B7" s="9" t="inlineStr">
        <is>
          <t>Equipment subsidy and enablement</t>
        </is>
      </c>
      <c r="C7" s="39" t="inlineStr">
        <is>
          <t>Upfront · Variable (enrollment)</t>
        </is>
      </c>
      <c r="D7" s="10" t="inlineStr">
        <is>
          <t>Hardware or controls cost paid by the program to make the load controllable.</t>
        </is>
      </c>
      <c r="E7" s="10" t="inlineStr">
        <is>
          <t>Yes: enabling-technology incentives (e.g., AutoDR) counted, reported with and without (S1)</t>
        </is>
      </c>
      <c r="F7" s="10" t="inlineStr">
        <is>
          <t>$75 subsidy (S3); $0 for BYOT</t>
        </is>
      </c>
      <c r="G7" s="10" t="inlineStr">
        <is>
          <t>Customer-owned hardware; program incentive per kWh</t>
        </is>
      </c>
      <c r="H7" s="10" t="inlineStr">
        <is>
          <t>Minimal if charger or vehicle API is used</t>
        </is>
      </c>
      <c r="I7" s="10" t="inlineStr">
        <is>
          <t>Bidirectional charger premium: not quantified in sources reviewed</t>
        </is>
      </c>
      <c r="J7" s="10" t="inlineStr">
        <is>
          <t>AutoDR technology incentives</t>
        </is>
      </c>
      <c r="K7" s="10" t="inlineStr">
        <is>
          <t>Onsite storage or generation capex borne by the load</t>
        </is>
      </c>
      <c r="L7" s="10" t="inlineStr">
        <is>
          <t>Thermostat $75, water heater $315 (S3); battery participation incentive $268.6/kWh resi, $271.8/kWh C&amp;I (S2)</t>
        </is>
      </c>
      <c r="M7" s="10" t="inlineStr">
        <is>
          <t>Who owns hardware decides whether it is a program cost or a participant cost.</t>
        </is>
      </c>
      <c r="N7" s="10" t="inlineStr">
        <is>
          <t>Yes: full for new devices, partial for enablement, zero for existing</t>
        </is>
      </c>
    </row>
    <row r="8" ht="26" customHeight="1">
      <c r="A8" s="9" t="inlineStr">
        <is>
          <t>C5</t>
        </is>
      </c>
      <c r="B8" s="9" t="inlineStr">
        <is>
          <t>Installation and interconnection</t>
        </is>
      </c>
      <c r="C8" s="39" t="inlineStr">
        <is>
          <t>Upfront · Variable (enrollment)</t>
        </is>
      </c>
      <c r="D8" s="10" t="inlineStr">
        <is>
          <t>Installation labor and, for exporting resources, interconnection review and upgrades.</t>
        </is>
      </c>
      <c r="E8" s="10" t="inlineStr">
        <is>
          <t>Participant capital costs net out of participant-cost proxy (S1)</t>
        </is>
      </c>
      <c r="F8" s="10" t="inlineStr">
        <is>
          <t>Minor</t>
        </is>
      </c>
      <c r="G8" s="10" t="inlineStr">
        <is>
          <t>Rule 21 export review; possible service upgrades</t>
        </is>
      </c>
      <c r="H8" s="10" t="inlineStr">
        <is>
          <t>Minor</t>
        </is>
      </c>
      <c r="I8" s="10" t="inlineStr">
        <is>
          <t>Rule 21 V2G authorization still emerging</t>
        </is>
      </c>
      <c r="J8" s="10" t="inlineStr">
        <is>
          <t>Controls integration</t>
        </is>
      </c>
      <c r="K8" s="10" t="inlineStr">
        <is>
          <t>Interconnection study and any upgrades</t>
        </is>
      </c>
      <c r="L8" s="10" t="inlineStr">
        <is>
          <t>Not modeled in S2</t>
        </is>
      </c>
      <c r="M8" s="10" t="inlineStr">
        <is>
          <t>Grows for export-capable resources (G6) and is near zero for curtailment-only resources.</t>
        </is>
      </c>
      <c r="N8" s="10" t="inlineStr">
        <is>
          <t>Yes: export enablement for partly incremental batteries</t>
        </is>
      </c>
    </row>
    <row r="9" ht="26" customHeight="1">
      <c r="A9" s="9" t="inlineStr">
        <is>
          <t>C6</t>
        </is>
      </c>
      <c r="B9" s="9" t="inlineStr">
        <is>
          <t>Program staffing and administration</t>
        </is>
      </c>
      <c r="C9" s="40" t="inlineStr">
        <is>
          <t>Ongoing · Fixed</t>
        </is>
      </c>
      <c r="D9" s="10" t="inlineStr">
        <is>
          <t>Utility staff, policy support and overhead to run the portfolio.</t>
        </is>
      </c>
      <c r="E9" s="10" t="inlineStr">
        <is>
          <t>Yes: policy and program support allocated by budget share (S1)</t>
        </is>
      </c>
      <c r="F9" s="10" t="inlineStr">
        <is>
          <t>Shared</t>
        </is>
      </c>
      <c r="G9" s="10" t="inlineStr">
        <is>
          <t>Shared</t>
        </is>
      </c>
      <c r="H9" s="10" t="inlineStr">
        <is>
          <t>Shared</t>
        </is>
      </c>
      <c r="I9" s="10" t="inlineStr">
        <is>
          <t>Shared</t>
        </is>
      </c>
      <c r="J9" s="10" t="inlineStr">
        <is>
          <t>Shared</t>
        </is>
      </c>
      <c r="K9" s="10" t="inlineStr">
        <is>
          <t>Shared</t>
        </is>
      </c>
      <c r="L9" s="10" t="inlineStr">
        <is>
          <t>4 FTE at $150k/yr across all programs (S2)</t>
        </is>
      </c>
      <c r="M9" s="10" t="inlineStr">
        <is>
          <t>Allocation rule (budget share vs kW share) changes technology rankings.</t>
        </is>
      </c>
      <c r="N9" s="10" t="inlineStr">
        <is>
          <t>No</t>
        </is>
      </c>
    </row>
    <row r="10" ht="26" customHeight="1">
      <c r="A10" s="9" t="inlineStr">
        <is>
          <t>C7</t>
        </is>
      </c>
      <c r="B10" s="9" t="inlineStr">
        <is>
          <t>Evaluation and M&amp;V</t>
        </is>
      </c>
      <c r="C10" s="40" t="inlineStr">
        <is>
          <t>Ongoing · Fixed</t>
        </is>
      </c>
      <c r="D10" s="10" t="inlineStr">
        <is>
          <t>Annual LIP evaluation, ex post and ex ante studies, settlement baselines, audits.</t>
        </is>
      </c>
      <c r="E10" s="10" t="inlineStr">
        <is>
          <t>Yes: EM&amp;V allocated as support cost (S1)</t>
        </is>
      </c>
      <c r="F10" s="10" t="inlineStr">
        <is>
          <t>Mature methods</t>
        </is>
      </c>
      <c r="G10" s="10" t="inlineStr">
        <is>
          <t>Export treatment unresolved (G6)</t>
        </is>
      </c>
      <c r="H10" s="10" t="inlineStr">
        <is>
          <t>Transformer-level evaluation needed (G7)</t>
        </is>
      </c>
      <c r="I10" s="10" t="inlineStr">
        <is>
          <t>No method yet (G10)</t>
        </is>
      </c>
      <c r="J10" s="10" t="inlineStr">
        <is>
          <t>Mature</t>
        </is>
      </c>
      <c r="K10" s="10" t="inlineStr">
        <is>
          <t>Contract compliance verification</t>
        </is>
      </c>
      <c r="L10" s="10" t="inlineStr">
        <is>
          <t>Not separately quantified in sources reviewed</t>
        </is>
      </c>
      <c r="M10" s="10" t="inlineStr">
        <is>
          <t>Rises if LIP gaps G1–G4 are closed with feeder-level work.</t>
        </is>
      </c>
      <c r="N10" s="10" t="inlineStr">
        <is>
          <t>Partly: baselines for existing resources are harder</t>
        </is>
      </c>
    </row>
    <row r="11" ht="26" customHeight="1">
      <c r="A11" s="9" t="inlineStr">
        <is>
          <t>C8</t>
        </is>
      </c>
      <c r="B11" s="9" t="inlineStr">
        <is>
          <t>Participation/retention incentives</t>
        </is>
      </c>
      <c r="C11" s="36" t="inlineStr">
        <is>
          <t>Ongoing · Variable (enrollment)</t>
        </is>
      </c>
      <c r="D11" s="10" t="inlineStr">
        <is>
          <t>Recurring payment for staying enrolled and available, per participant or per kW.</t>
        </is>
      </c>
      <c r="E11" s="10" t="inlineStr">
        <is>
          <t>Yes: incentive budget aligned to ex ante MW (S1)</t>
        </is>
      </c>
      <c r="F11" s="10" t="inlineStr">
        <is>
          <t>$27.0/yr new, $21.8/yr BYOT (S2)</t>
        </is>
      </c>
      <c r="G11" s="10" t="inlineStr">
        <is>
          <t>Per kWh upfront in S2 rather than annual</t>
        </is>
      </c>
      <c r="H11" s="10" t="inlineStr">
        <is>
          <t>$46.7/yr (S2)</t>
        </is>
      </c>
      <c r="I11" s="10" t="inlineStr">
        <is>
          <t>Not quantified</t>
        </is>
      </c>
      <c r="J11" s="10" t="inlineStr">
        <is>
          <t>$63.1–63.6/kW-yr AutoDR (S2)</t>
        </is>
      </c>
      <c r="K11" s="10" t="inlineStr">
        <is>
          <t>Rate discount or non-firm service in place of cash</t>
        </is>
      </c>
      <c r="L11" s="10" t="inlineStr">
        <is>
          <t>Water heater $84.9/yr (S2)</t>
        </is>
      </c>
      <c r="M11" s="10" t="inlineStr">
        <is>
          <t>S2 notes justifiable incentives are likely higher than shown once more benefits count.</t>
        </is>
      </c>
      <c r="N11" s="10" t="inlineStr">
        <is>
          <t>Yes: S2 prices new vs bring-your-own differently</t>
        </is>
      </c>
    </row>
    <row r="12" ht="26" customHeight="1">
      <c r="A12" s="9" t="inlineStr">
        <is>
          <t>C9</t>
        </is>
      </c>
      <c r="B12" s="9" t="inlineStr">
        <is>
          <t>Per-participant platform and telemetry</t>
        </is>
      </c>
      <c r="C12" s="36" t="inlineStr">
        <is>
          <t>Ongoing · Variable (enrollment)</t>
        </is>
      </c>
      <c r="D12" s="10" t="inlineStr">
        <is>
          <t>DERMS/vendor fees, communications and signaling per enrolled device.</t>
        </is>
      </c>
      <c r="E12" s="10" t="inlineStr">
        <is>
          <t>Yes: signaling costs per device included (S1)</t>
        </is>
      </c>
      <c r="F12" s="10" t="inlineStr">
        <is>
          <t>$6/participant-yr (S2)</t>
        </is>
      </c>
      <c r="G12" s="10" t="inlineStr">
        <is>
          <t>$180/participant-yr resi; $2,400 C&amp;I (S2)</t>
        </is>
      </c>
      <c r="H12" s="10" t="inlineStr">
        <is>
          <t>$15/participant-yr (S2)</t>
        </is>
      </c>
      <c r="I12" s="10" t="inlineStr">
        <is>
          <t>Likely above V1G; not quantified</t>
        </is>
      </c>
      <c r="J12" s="10" t="inlineStr">
        <is>
          <t>~$0 per kW (S2)</t>
        </is>
      </c>
      <c r="K12" s="10" t="inlineStr">
        <is>
          <t>Site telemetry</t>
        </is>
      </c>
      <c r="L12" s="10" t="inlineStr">
        <is>
          <t>Sensitivity $0.70–$2.60/kW-month (S2)</t>
        </is>
      </c>
      <c r="M12" s="10" t="inlineStr">
        <is>
          <t>Device-level metering (DDEMI future priority) would add here.</t>
        </is>
      </c>
      <c r="N12" s="10" t="inlineStr">
        <is>
          <t>Partly</t>
        </is>
      </c>
    </row>
    <row r="13" ht="39" customHeight="1">
      <c r="A13" s="9" t="inlineStr">
        <is>
          <t>C10</t>
        </is>
      </c>
      <c r="B13" s="9" t="inlineStr">
        <is>
          <t>performance incentives &amp; event-related energy payments</t>
        </is>
      </c>
      <c r="C13" s="37" t="inlineStr">
        <is>
          <t>Ongoing · Variable (dispatch)</t>
        </is>
      </c>
      <c r="D13" s="10" t="inlineStr">
        <is>
          <t>Payments per event, per kWh delivered, or wholesale revenue passed through.</t>
        </is>
      </c>
      <c r="E13" s="10" t="inlineStr">
        <is>
          <t>Yes, via incentive costs; wholesale revenue counted as a benefit (S1)</t>
        </is>
      </c>
      <c r="F13" s="10" t="inlineStr">
        <is>
          <t>Event bill credits</t>
        </is>
      </c>
      <c r="G13" s="10" t="inlineStr">
        <is>
          <t>Per-kWh export or discharge payments</t>
        </is>
      </c>
      <c r="H13" s="10" t="inlineStr">
        <is>
          <t>Per-event credits</t>
        </is>
      </c>
      <c r="I13" s="10" t="inlineStr">
        <is>
          <t>Per-kWh discharge payments</t>
        </is>
      </c>
      <c r="J13" s="10" t="inlineStr">
        <is>
          <t>Capacity bidding energy payments</t>
        </is>
      </c>
      <c r="K13" s="10" t="inlineStr">
        <is>
          <t>Curtailment compensation if contracted</t>
        </is>
      </c>
      <c r="L13" s="10" t="inlineStr">
        <is>
          <t>Not modeled in S2</t>
        </is>
      </c>
      <c r="M13" s="10" t="inlineStr">
        <is>
          <t>This is the cost that belongs in a per-dispatch threshold (Q6).</t>
        </is>
      </c>
      <c r="N13" s="10" t="inlineStr">
        <is>
          <t>No</t>
        </is>
      </c>
    </row>
    <row r="14" ht="39" customHeight="1">
      <c r="A14" s="9" t="inlineStr">
        <is>
          <t>C11</t>
        </is>
      </c>
      <c r="B14" s="9" t="inlineStr">
        <is>
          <t>Participant cost of service lost/ opportunity cost</t>
        </is>
      </c>
      <c r="C14" s="37" t="inlineStr">
        <is>
          <t>Ongoing · Variable (dispatch)</t>
        </is>
      </c>
      <c r="D14" s="10" t="inlineStr">
        <is>
          <t>Comfort, convenience, productivity or revenue the participant gives up when dispatched.</t>
        </is>
      </c>
      <c r="E14" s="10" t="inlineStr">
        <is>
          <t>Yes: proxy 75% of incentives + bill savings − capital; 35% for AC cycling (S1)</t>
        </is>
      </c>
      <c r="F14" s="10" t="inlineStr">
        <is>
          <t>Comfort; rises with consecutive events (G5)</t>
        </is>
      </c>
      <c r="G14" s="10" t="inlineStr">
        <is>
          <t>Backup-reserve depletion; battery degradation</t>
        </is>
      </c>
      <c r="H14" s="10" t="inlineStr">
        <is>
          <t>Missed departure charge</t>
        </is>
      </c>
      <c r="I14" s="10" t="inlineStr">
        <is>
          <t>Degradation; range anxiety</t>
        </is>
      </c>
      <c r="J14" s="10" t="inlineStr">
        <is>
          <t>Process disruption</t>
        </is>
      </c>
      <c r="K14" s="10" t="inlineStr">
        <is>
          <t>Lost compute revenue; priced at $0 under non-firm contracts in S5</t>
        </is>
      </c>
      <c r="L14" s="10" t="inlineStr">
        <is>
          <t>75% / 35% proxies (S1)</t>
        </is>
      </c>
      <c r="M14" s="10" t="inlineStr">
        <is>
          <t>Proxy is a TRC/PCT input, not observed; a dispatch-dependent estimate is a gap.</t>
        </is>
      </c>
      <c r="N14" s="10" t="inlineStr">
        <is>
          <t>No</t>
        </is>
      </c>
    </row>
    <row r="15" ht="26" customHeight="1">
      <c r="A15" s="9" t="inlineStr">
        <is>
          <t>C12</t>
        </is>
      </c>
      <c r="B15" s="9" t="inlineStr">
        <is>
          <t>Attrition and re-acquisition</t>
        </is>
      </c>
      <c r="C15" s="36" t="inlineStr">
        <is>
          <t>Ongoing · Variable (enrollment)</t>
        </is>
      </c>
      <c r="D15" s="10" t="inlineStr">
        <is>
          <t>Cost of replacing participants who leave, so enrolled kW holds steady.</t>
        </is>
      </c>
      <c r="E15" s="10" t="inlineStr">
        <is>
          <t>No explicit line</t>
        </is>
      </c>
      <c r="F15" s="10" t="inlineStr">
        <is>
          <t>Opt-out-driven churn</t>
        </is>
      </c>
      <c r="G15" s="10" t="inlineStr">
        <is>
          <t>Low churn; ownership changes</t>
        </is>
      </c>
      <c r="H15" s="10" t="inlineStr">
        <is>
          <t>Vehicle turnover</t>
        </is>
      </c>
      <c r="I15" s="10" t="inlineStr">
        <is>
          <t>Unknown</t>
        </is>
      </c>
      <c r="J15" s="10" t="inlineStr">
        <is>
          <t>Business changes</t>
        </is>
      </c>
      <c r="K15" s="10" t="inlineStr">
        <is>
          <t>Contract term</t>
        </is>
      </c>
      <c r="L15" s="10" t="inlineStr">
        <is>
          <t>Not modeled in S2</t>
        </is>
      </c>
      <c r="M15" s="10" t="inlineStr">
        <is>
          <t>Missing from the reviewed cost builds; converts C3 into an ongoing cost.</t>
        </is>
      </c>
      <c r="N15" s="10" t="inlineStr">
        <is>
          <t>Partly</t>
        </is>
      </c>
    </row>
    <row r="16" ht="65" customHeight="1">
      <c r="A16" s="9" t="inlineStr">
        <is>
          <t>C13</t>
        </is>
      </c>
      <c r="B16" s="9" t="inlineStr">
        <is>
          <t>Rebound and degradation energy</t>
        </is>
      </c>
      <c r="C16" s="37" t="inlineStr">
        <is>
          <t>Ongoing · Variable (dispatch)</t>
        </is>
      </c>
      <c r="D16" s="10" t="inlineStr">
        <is>
          <t>Energy cost of pre-conditioning, snapback, recharge and asset wear caused by dispatch.</t>
        </is>
      </c>
      <c r="E16" s="10" t="inlineStr">
        <is>
          <t>Partial: energy benefits net snapback in ex ante; recharge considered in bill impacts; degradation not included or modeled explicitly</t>
        </is>
      </c>
      <c r="F16" s="10" t="inlineStr">
        <is>
          <t>Pre-cool and snapback (G8)</t>
        </is>
      </c>
      <c r="G16" s="10" t="inlineStr">
        <is>
          <t>Recharge energy; cycling wear</t>
        </is>
      </c>
      <c r="H16" s="10" t="inlineStr">
        <is>
          <t>Catch-up charging (G8)</t>
        </is>
      </c>
      <c r="I16" s="10" t="inlineStr">
        <is>
          <t>Recharge; cycling wear</t>
        </is>
      </c>
      <c r="J16" s="10" t="inlineStr">
        <is>
          <t>Recovery load</t>
        </is>
      </c>
      <c r="K16" s="10" t="inlineStr">
        <is>
          <t>Onsite fuel if generation runs</t>
        </is>
      </c>
      <c r="L16" s="10" t="inlineStr">
        <is>
          <t>Not quantified in sources reviewed</t>
        </is>
      </c>
      <c r="M16" s="10" t="inlineStr">
        <is>
          <t>Matters for local needs where rebound lands on the constraint.</t>
        </is>
      </c>
      <c r="N16" s="10" t="inlineStr">
        <is>
          <t>No</t>
        </is>
      </c>
    </row>
    <row r="17" ht="26" customHeight="1">
      <c r="A17" s="9" t="inlineStr">
        <is>
          <t>C14</t>
        </is>
      </c>
      <c r="B17" s="9" t="inlineStr">
        <is>
          <t>Non-performance and risk margin</t>
        </is>
      </c>
      <c r="C17" s="37" t="inlineStr">
        <is>
          <t>Ongoing · Variable (dispatch)</t>
        </is>
      </c>
      <c r="D17" s="10" t="inlineStr">
        <is>
          <t>Cost of shortfall: penalties absorbed, backup procured, or a derate applied to nominal kW.</t>
        </is>
      </c>
      <c r="E17" s="10" t="inlineStr">
        <is>
          <t>Indirect: A–G factors and sensitivity runs</t>
        </is>
      </c>
      <c r="F17" s="10" t="inlineStr">
        <is>
          <t>Correlated opt-outs (G4)</t>
        </is>
      </c>
      <c r="G17" s="10" t="inlineStr">
        <is>
          <t>Reserve settings, outages (G4)</t>
        </is>
      </c>
      <c r="H17" s="10" t="inlineStr">
        <is>
          <t>Plug-in uncertainty (G4)</t>
        </is>
      </c>
      <c r="I17" s="10" t="inlineStr">
        <is>
          <t>Plug-in and driver needs</t>
        </is>
      </c>
      <c r="J17" s="10" t="inlineStr">
        <is>
          <t>Low variance</t>
        </is>
      </c>
      <c r="K17" s="10" t="inlineStr">
        <is>
          <t>Contractual curtailment certainty</t>
        </is>
      </c>
      <c r="L17" s="10" t="inlineStr">
        <is>
          <t>Not quantified</t>
        </is>
      </c>
      <c r="M17" s="10" t="inlineStr">
        <is>
          <t>Shows up as the gap between nominal and effective kW — the denominator problem.</t>
        </is>
      </c>
      <c r="N17" s="10" t="inlineStr">
        <is>
          <t>Yes: capacity incrementality shrinks effective kW</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E12"/>
  <sheetViews>
    <sheetView zoomScale="150" zoomScaleNormal="100" workbookViewId="0">
      <selection activeCell="A1" sqref="A1"/>
    </sheetView>
  </sheetViews>
  <sheetFormatPr baseColWidth="10" defaultColWidth="8.6640625" defaultRowHeight="15"/>
  <cols>
    <col width="30" customWidth="1" min="1" max="1"/>
    <col width="18" customWidth="1" min="2" max="2"/>
    <col width="34" customWidth="1" min="3" max="3"/>
    <col width="44" customWidth="1" min="4" max="4"/>
    <col width="34" customWidth="1" min="5" max="5"/>
  </cols>
  <sheetData>
    <row r="1" ht="17" customHeight="1">
      <c r="A1" s="2" t="inlineStr">
        <is>
          <t>Cost quadrants: what each is for</t>
        </is>
      </c>
    </row>
    <row r="3">
      <c r="A3" s="8" t="inlineStr">
        <is>
          <t>Quadrant</t>
        </is>
      </c>
      <c r="B3" s="8" t="inlineStr">
        <is>
          <t>Components</t>
        </is>
      </c>
      <c r="C3" s="8" t="inlineStr">
        <is>
          <t>Annualize how</t>
        </is>
      </c>
      <c r="D3" s="8" t="inlineStr">
        <is>
          <t>Decision it feeds</t>
        </is>
      </c>
      <c r="E3" s="8" t="inlineStr">
        <is>
          <t>Unit</t>
        </is>
      </c>
    </row>
    <row r="4" ht="26" customHeight="1">
      <c r="A4" s="41" t="inlineStr">
        <is>
          <t>Upfront · Fixed</t>
        </is>
      </c>
      <c r="B4" s="10" t="inlineStr">
        <is>
          <t>C1, C2</t>
        </is>
      </c>
      <c r="C4" s="10" t="inlineStr">
        <is>
          <t>Over program life (S2 uses 10 years at 7%)</t>
        </is>
      </c>
      <c r="D4" s="10" t="inlineStr">
        <is>
          <t>Whether to launch a program or platform at all</t>
        </is>
      </c>
      <c r="E4" s="10" t="inlineStr">
        <is>
          <t>$ per program, then $/effective kW-yr at expected scale</t>
        </is>
      </c>
    </row>
    <row r="5" ht="26" customHeight="1">
      <c r="A5" s="42" t="inlineStr">
        <is>
          <t>Upfront · Variable (enrollment)</t>
        </is>
      </c>
      <c r="B5" s="10" t="inlineStr">
        <is>
          <t>C3, C4, C5</t>
        </is>
      </c>
      <c r="C5" s="10" t="inlineStr">
        <is>
          <t>Over participant life, adjusted for attrition (C12)</t>
        </is>
      </c>
      <c r="D5" s="10" t="inlineStr">
        <is>
          <t>Procurement price ceiling and bid comparison (Q8, Q9)</t>
        </is>
      </c>
      <c r="E5" s="10" t="inlineStr">
        <is>
          <t>$ per participant → $/effective kW-yr</t>
        </is>
      </c>
    </row>
    <row r="6" ht="26" customHeight="1">
      <c r="A6" s="43" t="inlineStr">
        <is>
          <t>Ongoing · Fixed</t>
        </is>
      </c>
      <c r="B6" s="10" t="inlineStr">
        <is>
          <t>C6, C7</t>
        </is>
      </c>
      <c r="C6" s="10" t="inlineStr">
        <is>
          <t>Annual</t>
        </is>
      </c>
      <c r="D6" s="10" t="inlineStr">
        <is>
          <t>Portfolio-level cost-effectiveness; allocation across programs</t>
        </is>
      </c>
      <c r="E6" s="10" t="inlineStr">
        <is>
          <t>$/yr → $/effective kW-yr</t>
        </is>
      </c>
    </row>
    <row r="7">
      <c r="A7" s="44" t="inlineStr">
        <is>
          <t>Ongoing · Variable (enrollment)</t>
        </is>
      </c>
      <c r="B7" s="10" t="inlineStr">
        <is>
          <t>C8, C9, C12</t>
        </is>
      </c>
      <c r="C7" s="10" t="inlineStr">
        <is>
          <t>Annual</t>
        </is>
      </c>
      <c r="D7" s="10" t="inlineStr">
        <is>
          <t>Availability price; procurement and bid comparison (Q8, Q9)</t>
        </is>
      </c>
      <c r="E7" s="10" t="inlineStr">
        <is>
          <t>$/participant-yr or $/kW-yr</t>
        </is>
      </c>
    </row>
    <row r="8">
      <c r="A8" s="45" t="inlineStr">
        <is>
          <t>Ongoing · Variable (dispatch)</t>
        </is>
      </c>
      <c r="B8" s="10" t="inlineStr">
        <is>
          <t>C10, C11, C13, C14</t>
        </is>
      </c>
      <c r="C8" s="10" t="inlineStr">
        <is>
          <t>Per event or per kWh</t>
        </is>
      </c>
      <c r="D8" s="10" t="inlineStr">
        <is>
          <t>Dispatch decision and minimum net-benefit threshold (Q6)</t>
        </is>
      </c>
      <c r="E8" s="10" t="inlineStr">
        <is>
          <t>$/event, $/kWh</t>
        </is>
      </c>
    </row>
    <row r="10">
      <c r="A10" s="46" t="inlineStr">
        <is>
          <t>Fully loaded cost per effective incremental kW-yr = (annualized upfront fixed + upfront variable + ongoing fixed + ongoing enrollment-variable + expected dispatch-variable) ÷ incremental effective kW at the need (LIP-adjusted, e.g., P10 at need hours, net of baseline and other-program commitments).</t>
        </is>
      </c>
    </row>
    <row r="11">
      <c r="A11" s="5" t="inlineStr">
        <is>
          <t>Incrementality sets which upfront enrollment-driven costs attach (numerator) and how many of the kW are new (denominator); see Flex - Cost incrementality.</t>
        </is>
      </c>
    </row>
    <row r="12">
      <c r="A12" s="5" t="inlineStr">
        <is>
          <t>Only dispatch-variable costs belong in a dispatch decision; everything else is sunk once a resource is enrolled. All five belong in a procurement or launch decision.</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3"/>
  <sheetViews>
    <sheetView zoomScale="150" zoomScaleNormal="150" workbookViewId="0">
      <pane xSplit="2" ySplit="3" topLeftCell="C4" activePane="bottomRight" state="frozen"/>
      <selection pane="topRight" activeCell="C1" sqref="C1"/>
      <selection pane="bottomLeft" activeCell="A4" sqref="A4"/>
      <selection pane="bottomRight" activeCell="D10" sqref="D10"/>
    </sheetView>
  </sheetViews>
  <sheetFormatPr baseColWidth="10" defaultColWidth="8.6640625" defaultRowHeight="15"/>
  <cols>
    <col width="24" customWidth="1" min="1" max="1"/>
    <col width="18" customWidth="1" min="2" max="2"/>
    <col width="34" customWidth="1" min="3" max="3"/>
    <col width="40" customWidth="1" min="4" max="4"/>
    <col width="26" customWidth="1" min="5" max="5"/>
    <col width="40" customWidth="1" min="6" max="6"/>
    <col width="34" customWidth="1" min="7" max="7"/>
  </cols>
  <sheetData>
    <row r="1" ht="17" customHeight="1">
      <c r="A1" s="2" t="inlineStr">
        <is>
          <t>Incrementality: how a resource's starting point changes its cost and its kW</t>
        </is>
      </c>
    </row>
    <row r="2">
      <c r="A2" s="3" t="inlineStr">
        <is>
          <t>Cost incrementality changes which components attach (numerator). Capacity incrementality changes how many kW are new (denominator).</t>
        </is>
      </c>
    </row>
    <row r="3">
      <c r="A3" s="8" t="inlineStr">
        <is>
          <t>Technology</t>
        </is>
      </c>
      <c r="B3" s="8" t="inlineStr">
        <is>
          <t>Case</t>
        </is>
      </c>
      <c r="C3" s="8" t="inlineStr">
        <is>
          <t>Starting point</t>
        </is>
      </c>
      <c r="D3" s="8" t="inlineStr">
        <is>
          <t>Enabling step the program pays for</t>
        </is>
      </c>
      <c r="E3" s="8" t="inlineStr">
        <is>
          <t>Components that attach</t>
        </is>
      </c>
      <c r="F3" s="8" t="inlineStr">
        <is>
          <t>Capacity incrementality concern</t>
        </is>
      </c>
      <c r="G3" s="8" t="inlineStr">
        <is>
          <t>Evidence / link</t>
        </is>
      </c>
    </row>
    <row r="4">
      <c r="A4" s="9" t="inlineStr">
        <is>
          <t>Smart thermostats</t>
        </is>
      </c>
      <c r="B4" s="42" t="inlineStr">
        <is>
          <t>Fully incremental</t>
        </is>
      </c>
      <c r="C4" s="10" t="inlineStr">
        <is>
          <t>No connected thermostat</t>
        </is>
      </c>
      <c r="D4" s="10" t="inlineStr">
        <is>
          <t>New device and installation</t>
        </is>
      </c>
      <c r="E4" s="10" t="inlineStr">
        <is>
          <t>C3, C4, C5, C8, C9</t>
        </is>
      </c>
      <c r="F4" s="10" t="inlineStr">
        <is>
          <t>Low: new capability</t>
        </is>
      </c>
      <c r="G4" s="10" t="inlineStr">
        <is>
          <t>S2 prices new-device participation at $27.0/yr</t>
        </is>
      </c>
    </row>
    <row r="5">
      <c r="A5" s="9" t="inlineStr">
        <is>
          <t>Smart thermostats</t>
        </is>
      </c>
      <c r="B5" s="44" t="inlineStr">
        <is>
          <t>Partly incremental</t>
        </is>
      </c>
      <c r="C5" s="10" t="inlineStr">
        <is>
          <t>Connected thermostat not enrolled or offline</t>
        </is>
      </c>
      <c r="D5" s="10" t="inlineStr">
        <is>
          <t>Enrollment, connectivity, OEM program link</t>
        </is>
      </c>
      <c r="E5" s="10" t="inlineStr">
        <is>
          <t>C3, C8, C9</t>
        </is>
      </c>
      <c r="F5" s="10" t="inlineStr">
        <is>
          <t>Moderate: some TOU optimization may already occur</t>
        </is>
      </c>
      <c r="G5" s="10" t="inlineStr">
        <is>
          <t>—</t>
        </is>
      </c>
    </row>
    <row r="6" ht="26" customHeight="1">
      <c r="A6" s="9" t="inlineStr">
        <is>
          <t>Smart thermostats</t>
        </is>
      </c>
      <c r="B6" s="43" t="inlineStr">
        <is>
          <t>Existing</t>
        </is>
      </c>
      <c r="C6" s="10" t="inlineStr">
        <is>
          <t>Already enrolled with an OEM or on an optimizing rate</t>
        </is>
      </c>
      <c r="D6" s="10" t="inlineStr">
        <is>
          <t>Incentive only</t>
        </is>
      </c>
      <c r="E6" s="10" t="inlineStr">
        <is>
          <t>C3 (low), C8</t>
        </is>
      </c>
      <c r="F6" s="10" t="inlineStr">
        <is>
          <t>High: TOU response may already be in the baseline (G7)</t>
        </is>
      </c>
      <c r="G6" s="10" t="inlineStr">
        <is>
          <t>S2 prices bring-your-own at $21.8/yr</t>
        </is>
      </c>
    </row>
    <row r="7">
      <c r="A7" s="9" t="inlineStr">
        <is>
          <t>Battery storage</t>
        </is>
      </c>
      <c r="B7" s="42" t="inlineStr">
        <is>
          <t>Fully incremental</t>
        </is>
      </c>
      <c r="C7" s="10" t="inlineStr">
        <is>
          <t>No battery</t>
        </is>
      </c>
      <c r="D7" s="10" t="inlineStr">
        <is>
          <t>Hardware support and installation</t>
        </is>
      </c>
      <c r="E7" s="10" t="inlineStr">
        <is>
          <t>C3, C4, C5, C8, C9</t>
        </is>
      </c>
      <c r="F7" s="10" t="inlineStr">
        <is>
          <t>Low</t>
        </is>
      </c>
      <c r="G7" s="10" t="inlineStr">
        <is>
          <t>S2 participation incentive per kWh</t>
        </is>
      </c>
    </row>
    <row r="8" ht="26" customHeight="1">
      <c r="A8" s="9" t="inlineStr">
        <is>
          <t>Battery storage</t>
        </is>
      </c>
      <c r="B8" s="44" t="inlineStr">
        <is>
          <t>Partly incremental</t>
        </is>
      </c>
      <c r="C8" s="10" t="inlineStr">
        <is>
          <t>Battery in self-consumption or backup mode</t>
        </is>
      </c>
      <c r="D8" s="10" t="inlineStr">
        <is>
          <t>DERMS integration, firmware, Rule 21 export authorization, device-level metering to count exports</t>
        </is>
      </c>
      <c r="E8" s="10" t="inlineStr">
        <is>
          <t>C3, C5, C9 (+ export enablement)</t>
        </is>
      </c>
      <c r="F8" s="10" t="inlineStr">
        <is>
          <t>Moderate: routine TOU discharge sits in the baseline (DDEMI)</t>
        </is>
      </c>
      <c r="G8" s="10" t="inlineStr">
        <is>
          <t>RA #5, #7; G6</t>
        </is>
      </c>
    </row>
    <row r="9" ht="26" customHeight="1">
      <c r="A9" s="9" t="inlineStr">
        <is>
          <t>Battery storage</t>
        </is>
      </c>
      <c r="B9" s="43" t="inlineStr">
        <is>
          <t>Existing</t>
        </is>
      </c>
      <c r="C9" s="10" t="inlineStr">
        <is>
          <t>Already committed to another program (e.g., emergency or SGIP dispatch requirements)</t>
        </is>
      </c>
      <c r="D9" s="10" t="inlineStr">
        <is>
          <t>Incentive for added availability only</t>
        </is>
      </c>
      <c r="E9" s="10" t="inlineStr">
        <is>
          <t>C8</t>
        </is>
      </c>
      <c r="F9" s="10" t="inlineStr">
        <is>
          <t>High: only availability beyond the existing commitment counts; NEM/NBT netting</t>
        </is>
      </c>
      <c r="G9" s="10" t="inlineStr">
        <is>
          <t>RA #5; Joint DER incrementality proposals</t>
        </is>
      </c>
    </row>
    <row r="10">
      <c r="A10" s="9" t="inlineStr">
        <is>
          <t>EV managed charging (V1G)</t>
        </is>
      </c>
      <c r="B10" s="42" t="inlineStr">
        <is>
          <t>Fully incremental</t>
        </is>
      </c>
      <c r="C10" s="10" t="inlineStr">
        <is>
          <t>No networked lvl 2 charger</t>
        </is>
      </c>
      <c r="D10" s="10" t="inlineStr">
        <is>
          <t>Smart lvl 2 charger and installation</t>
        </is>
      </c>
      <c r="E10" s="10" t="inlineStr">
        <is>
          <t>C3, C4, C5, C8, C9</t>
        </is>
      </c>
      <c r="F10" s="10" t="inlineStr">
        <is>
          <t>Low</t>
        </is>
      </c>
      <c r="G10" s="10" t="inlineStr">
        <is>
          <t>—</t>
        </is>
      </c>
    </row>
    <row r="11" ht="39" customHeight="1">
      <c r="A11" s="9" t="inlineStr">
        <is>
          <t>EV managed charging (V1G)</t>
        </is>
      </c>
      <c r="B11" s="44" t="inlineStr">
        <is>
          <t>Partly incremental</t>
        </is>
      </c>
      <c r="C11" s="10" t="inlineStr">
        <is>
          <t>Non-networked charger or vehicle not enrolled in telematics, but potentially responding to TOU price signal</t>
        </is>
      </c>
      <c r="D11" s="10" t="inlineStr">
        <is>
          <t>API or telematics enrollment; possibly charger replacement</t>
        </is>
      </c>
      <c r="E11" s="10" t="inlineStr">
        <is>
          <t>C3, C8, C9 (+ C4 if replaced)</t>
        </is>
      </c>
      <c r="F11" s="10" t="inlineStr">
        <is>
          <t>Moderate to high: TOU response may already be in the baseline (G7)</t>
        </is>
      </c>
      <c r="G11" s="10" t="inlineStr">
        <is>
          <t>—</t>
        </is>
      </c>
    </row>
    <row r="12">
      <c r="A12" s="9" t="inlineStr">
        <is>
          <t>EV managed charging (V1G)</t>
        </is>
      </c>
      <c r="B12" s="43" t="inlineStr">
        <is>
          <t>Existing</t>
        </is>
      </c>
      <c r="C12" s="10" t="inlineStr">
        <is>
          <t>Already charging on a schedule</t>
        </is>
      </c>
      <c r="D12" s="10" t="inlineStr">
        <is>
          <t>Incentive only</t>
        </is>
      </c>
      <c r="E12" s="10" t="inlineStr">
        <is>
          <t>C3 (low), C8</t>
        </is>
      </c>
      <c r="F12" s="10" t="inlineStr">
        <is>
          <t>High: event dispatch may add little (G7 hypothesis)</t>
        </is>
      </c>
      <c r="G12" s="10" t="inlineStr">
        <is>
          <t>G7</t>
        </is>
      </c>
    </row>
    <row r="13" ht="26" customHeight="1">
      <c r="A13" s="9" t="inlineStr">
        <is>
          <t>Bidirectional EV / V2G</t>
        </is>
      </c>
      <c r="B13" s="42" t="inlineStr">
        <is>
          <t>Fully incremental</t>
        </is>
      </c>
      <c r="C13" s="10" t="inlineStr">
        <is>
          <t>No compatible vehicle or charger</t>
        </is>
      </c>
      <c r="D13" s="10" t="inlineStr">
        <is>
          <t>Bidirectional charger and interconnection</t>
        </is>
      </c>
      <c r="E13" s="10" t="inlineStr">
        <is>
          <t>C3, C4, C5, C8, C9</t>
        </is>
      </c>
      <c r="F13" s="10" t="inlineStr">
        <is>
          <t>Low</t>
        </is>
      </c>
      <c r="G13" s="10" t="inlineStr">
        <is>
          <t>Charger premium unquantified in reviewed sources</t>
        </is>
      </c>
    </row>
    <row r="14" ht="26" customHeight="1">
      <c r="A14" s="9" t="inlineStr">
        <is>
          <t>Bidirectional EV / V2G</t>
        </is>
      </c>
      <c r="B14" s="44" t="inlineStr">
        <is>
          <t>Partly incremental</t>
        </is>
      </c>
      <c r="C14" s="10" t="inlineStr">
        <is>
          <t>Compatible vehicle, unidirectional charger</t>
        </is>
      </c>
      <c r="D14" s="10" t="inlineStr">
        <is>
          <t>Bidirectional charger and Rule 21 V2G authorization</t>
        </is>
      </c>
      <c r="E14" s="10" t="inlineStr">
        <is>
          <t>C3, C4, C5, C8, C9</t>
        </is>
      </c>
      <c r="F14" s="10" t="inlineStr">
        <is>
          <t>Low</t>
        </is>
      </c>
      <c r="G14" s="10" t="inlineStr">
        <is>
          <t>Partial case is close to full cost because the charger dominates</t>
        </is>
      </c>
    </row>
    <row r="15">
      <c r="A15" s="9" t="inlineStr">
        <is>
          <t>Bidirectional EV / V2G</t>
        </is>
      </c>
      <c r="B15" s="43" t="inlineStr">
        <is>
          <t>Existing</t>
        </is>
      </c>
      <c r="C15" s="10" t="inlineStr">
        <is>
          <t>Rare today</t>
        </is>
      </c>
      <c r="D15" s="10" t="inlineStr">
        <is>
          <t>—</t>
        </is>
      </c>
      <c r="E15" s="10" t="inlineStr">
        <is>
          <t>—</t>
        </is>
      </c>
      <c r="F15" s="10" t="inlineStr">
        <is>
          <t>—</t>
        </is>
      </c>
      <c r="G15" s="10" t="inlineStr">
        <is>
          <t>—</t>
        </is>
      </c>
    </row>
    <row r="16">
      <c r="A16" s="9" t="inlineStr">
        <is>
          <t>C&amp;I curtailment</t>
        </is>
      </c>
      <c r="B16" s="42" t="inlineStr">
        <is>
          <t>Fully incremental</t>
        </is>
      </c>
      <c r="C16" s="10" t="inlineStr">
        <is>
          <t>No automated controls</t>
        </is>
      </c>
      <c r="D16" s="10" t="inlineStr">
        <is>
          <t>AutoDR controls or EMS</t>
        </is>
      </c>
      <c r="E16" s="10" t="inlineStr">
        <is>
          <t>C3, C4, C5, C8</t>
        </is>
      </c>
      <c r="F16" s="10" t="inlineStr">
        <is>
          <t>Low</t>
        </is>
      </c>
      <c r="G16" s="10" t="inlineStr">
        <is>
          <t>AutoDR technology incentives (S1)</t>
        </is>
      </c>
    </row>
    <row r="17">
      <c r="A17" s="9" t="inlineStr">
        <is>
          <t>C&amp;I curtailment</t>
        </is>
      </c>
      <c r="B17" s="44" t="inlineStr">
        <is>
          <t>Partly incremental</t>
        </is>
      </c>
      <c r="C17" s="10" t="inlineStr">
        <is>
          <t>EMS in place, not DR-enabled</t>
        </is>
      </c>
      <c r="D17" s="10" t="inlineStr">
        <is>
          <t>OpenADR integration and programming</t>
        </is>
      </c>
      <c r="E17" s="10" t="inlineStr">
        <is>
          <t>C3, C4 (small), C8</t>
        </is>
      </c>
      <c r="F17" s="10" t="inlineStr">
        <is>
          <t>Moderate</t>
        </is>
      </c>
      <c r="G17" s="10" t="inlineStr">
        <is>
          <t>—</t>
        </is>
      </c>
    </row>
    <row r="18">
      <c r="A18" s="9" t="inlineStr">
        <is>
          <t>C&amp;I curtailment</t>
        </is>
      </c>
      <c r="B18" s="43" t="inlineStr">
        <is>
          <t>Existing</t>
        </is>
      </c>
      <c r="C18" s="10" t="inlineStr">
        <is>
          <t>Already in another DR program</t>
        </is>
      </c>
      <c r="D18" s="10" t="inlineStr">
        <is>
          <t>Program switch</t>
        </is>
      </c>
      <c r="E18" s="10" t="inlineStr">
        <is>
          <t>C8</t>
        </is>
      </c>
      <c r="F18" s="10" t="inlineStr">
        <is>
          <t>High: no new kW system-wide</t>
        </is>
      </c>
      <c r="G18" s="10" t="inlineStr">
        <is>
          <t>P24 portfolio overlap</t>
        </is>
      </c>
    </row>
    <row r="19" ht="26" customHeight="1">
      <c r="A19" s="9" t="inlineStr">
        <is>
          <t>Large load (speed-to-power)</t>
        </is>
      </c>
      <c r="B19" s="42" t="inlineStr">
        <is>
          <t>Fully incremental</t>
        </is>
      </c>
      <c r="C19" s="10" t="inlineStr">
        <is>
          <t>New load designed for non-firm service</t>
        </is>
      </c>
      <c r="D19" s="10" t="inlineStr">
        <is>
          <t>Onsite storage or controls sized for curtailment (borne by load)</t>
        </is>
      </c>
      <c r="E19" s="10" t="inlineStr">
        <is>
          <t>C4, C5 (load-borne), C11</t>
        </is>
      </c>
      <c r="F19" s="10" t="inlineStr">
        <is>
          <t>Low: flexibility built in</t>
        </is>
      </c>
      <c r="G19" s="10" t="inlineStr">
        <is>
          <t>S5</t>
        </is>
      </c>
    </row>
    <row r="20">
      <c r="A20" s="9" t="inlineStr">
        <is>
          <t>Large load (speed-to-power)</t>
        </is>
      </c>
      <c r="B20" s="44" t="inlineStr">
        <is>
          <t>Partly incremental</t>
        </is>
      </c>
      <c r="C20" s="10" t="inlineStr">
        <is>
          <t>Existing load adding controls or storage</t>
        </is>
      </c>
      <c r="D20" s="10" t="inlineStr">
        <is>
          <t>Controls retrofit or onsite storage</t>
        </is>
      </c>
      <c r="E20" s="10" t="inlineStr">
        <is>
          <t>C4, C5, C11</t>
        </is>
      </c>
      <c r="F20" s="10" t="inlineStr">
        <is>
          <t>Moderate</t>
        </is>
      </c>
      <c r="G20" s="10" t="inlineStr">
        <is>
          <t>—</t>
        </is>
      </c>
    </row>
    <row r="21" ht="26" customHeight="1">
      <c r="A21" s="9" t="inlineStr">
        <is>
          <t>Large load (speed-to-power)</t>
        </is>
      </c>
      <c r="B21" s="43" t="inlineStr">
        <is>
          <t>Existing</t>
        </is>
      </c>
      <c r="C21" s="10" t="inlineStr">
        <is>
          <t>Existing backup generation</t>
        </is>
      </c>
      <c r="D21" s="10" t="inlineStr">
        <is>
          <t>Contract only</t>
        </is>
      </c>
      <c r="E21" s="10" t="inlineStr">
        <is>
          <t>C11</t>
        </is>
      </c>
      <c r="F21" s="10" t="inlineStr">
        <is>
          <t>Constrained: fossil backup may be a prohibited DR resource</t>
        </is>
      </c>
      <c r="G21" s="10" t="inlineStr">
        <is>
          <t>EDROIR prohibited-resource scope</t>
        </is>
      </c>
    </row>
    <row r="22"/>
    <row r="23">
      <c r="A23" s="3" t="inlineStr">
        <is>
          <t>Perspective matters: under the PAC test only program-paid costs count; under TRC, participant-paid incremental costs count too. Hardware funded by another program (e.g., SGIP) is sunk from the DR program's view but not from a societal view.</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E11"/>
  <sheetViews>
    <sheetView tabSelected="1" topLeftCell="B1" zoomScale="180" zoomScaleNormal="100" workbookViewId="0">
      <selection activeCell="A1" sqref="A1"/>
    </sheetView>
  </sheetViews>
  <sheetFormatPr baseColWidth="10" defaultColWidth="8.6640625" defaultRowHeight="15"/>
  <cols>
    <col width="6" customWidth="1" min="1" max="1"/>
    <col width="50" customWidth="1" min="2" max="2"/>
    <col width="10" customWidth="1" min="3" max="3"/>
    <col width="70" customWidth="1" min="4" max="4"/>
    <col width="60" customWidth="1" min="5" max="5"/>
  </cols>
  <sheetData>
    <row r="1" ht="17" customHeight="1">
      <c r="A1" s="2" t="inlineStr">
        <is>
          <t>Cost sources</t>
        </is>
      </c>
    </row>
    <row r="3">
      <c r="A3" s="8" t="inlineStr">
        <is>
          <t>Key</t>
        </is>
      </c>
      <c r="B3" s="8" t="inlineStr">
        <is>
          <t>Source</t>
        </is>
      </c>
      <c r="C3" s="8" t="inlineStr">
        <is>
          <t>Date</t>
        </is>
      </c>
      <c r="D3" s="8" t="inlineStr">
        <is>
          <t>What it contributes</t>
        </is>
      </c>
      <c r="E3" s="8" t="inlineStr">
        <is>
          <t>URL</t>
        </is>
      </c>
    </row>
    <row r="4" ht="26" customHeight="1">
      <c r="A4" s="9" t="inlineStr">
        <is>
          <t>S1</t>
        </is>
      </c>
      <c r="B4" s="10" t="inlineStr">
        <is>
          <t>SDG&amp;E testimony applying the 2016 DR Cost-Effectiveness Protocols (A.22-05-002, Ch. 5A)</t>
        </is>
      </c>
      <c r="C4" s="10" t="inlineStr">
        <is>
          <t>Aug 2022</t>
        </is>
      </c>
      <c r="D4" s="10" t="inlineStr">
        <is>
          <t>CA-adopted cost categories: allocated support costs (policy, ME&amp;O, EM&amp;V, IT), signaling, enabling-tech incentives, DRMS, participant-cost proxy (75% / 35%)</t>
        </is>
      </c>
      <c r="E4" s="10" t="inlineStr">
        <is>
          <t>https://docs.cpuc.ca.gov/PublishedDocs/SupDoc/A2205002/5340/496439874.pdf</t>
        </is>
      </c>
    </row>
    <row r="5" ht="26" customHeight="1">
      <c r="A5" s="9" t="inlineStr">
        <is>
          <t>S2</t>
        </is>
      </c>
      <c r="B5" s="10" t="inlineStr">
        <is>
          <t>GridLab / Brattle, California's Virtual Power Potential, Vol. II Technical Appendix</t>
        </is>
      </c>
      <c r="C5" s="10" t="inlineStr">
        <is>
          <t>Apr 2024</t>
        </is>
      </c>
      <c r="D5" s="10" t="inlineStr">
        <is>
          <t>Utility-perspective program costs by technology: start-up, staffing, marketing, DERMS per participant, participation incentives; 7% / 10-year annualization</t>
        </is>
      </c>
      <c r="E5" s="10" t="inlineStr">
        <is>
          <t>https://gridlab.org/wp-content/uploads/2024/04/Californias-Virtual-Power-Potential-Vol-II-Technical-Appendix.pdf</t>
        </is>
      </c>
    </row>
    <row r="6" ht="26" customHeight="1">
      <c r="A6" s="9" t="inlineStr">
        <is>
          <t>S3</t>
        </is>
      </c>
      <c r="B6" s="10" t="inlineStr">
        <is>
          <t>DOE, Pathways to Commercial Liftoff: Virtual Power Plants 2025 Update (citing Brattle)</t>
        </is>
      </c>
      <c r="C6" s="10" t="inlineStr">
        <is>
          <t>2025</t>
        </is>
      </c>
      <c r="D6" s="10" t="inlineStr">
        <is>
          <t>VPP $43/kW-yr vs utility battery $69 and gas peaker $99 for 400 MW RA; device subsidies; marketing $50/device; upfront platform cost</t>
        </is>
      </c>
      <c r="E6" s="10" t="inlineStr">
        <is>
          <t>https://www.smartenergydecisions.com/wp-content/uploads/2025/04/liftoff_doe_virtualpowerplants2025update.pdf</t>
        </is>
      </c>
    </row>
    <row r="7" ht="26" customHeight="1">
      <c r="A7" s="9" t="inlineStr">
        <is>
          <t>S4</t>
        </is>
      </c>
      <c r="B7" s="10" t="inlineStr">
        <is>
          <t>E3 for MA DOER, Evaluating Load Management Strategies for a Net Zero Grid in Massachusetts</t>
        </is>
      </c>
      <c r="C7" s="10" t="inlineStr">
        <is>
          <t>Dec 2025</t>
        </is>
      </c>
      <c r="D7" s="10" t="inlineStr">
        <is>
          <t>TRC framing: capex, O&amp;M, administrative costs; levelized net cost per critical-hour kW-yr; uses LBNL Phase 4 Appendix C costs (values not extracted)</t>
        </is>
      </c>
      <c r="E7" s="10" t="inlineStr">
        <is>
          <t>https://www.mass.gov/doc/e3-technical-potential-of-load-management-study-report/download</t>
        </is>
      </c>
    </row>
    <row r="8" ht="26" customHeight="1">
      <c r="A8" s="9" t="inlineStr">
        <is>
          <t>S5</t>
        </is>
      </c>
      <c r="B8" s="10" t="inlineStr">
        <is>
          <t>Johns Hopkins (Dvorkin, Silverman), Data Center Flexibility &amp; PJM Grid Analysis</t>
        </is>
      </c>
      <c r="C8" s="10" t="inlineStr">
        <is>
          <t>Mar 2026</t>
        </is>
      </c>
      <c r="D8" s="10" t="inlineStr">
        <is>
          <t>Speed-to-power: non-firm service cuts annual system cost by $15–16B; curtailment priced at $0/MWh as contractual; shifts cost from operations to capital</t>
        </is>
      </c>
      <c r="E8" s="10" t="inlineStr">
        <is>
          <t>https://energyinstitute.jhu.edu/wp-content/uploads/2026/03/Data_Center_Analysis_PJM-March-20-2026.pdf</t>
        </is>
      </c>
    </row>
    <row r="9" ht="26" customHeight="1">
      <c r="A9" s="9" t="inlineStr">
        <is>
          <t>S6</t>
        </is>
      </c>
      <c r="B9" s="10" t="inlineStr">
        <is>
          <t>E3 / RMI for MassCEC, DER-iving Local Value: Distribution Grid Services in Massachusetts</t>
        </is>
      </c>
      <c r="C9" s="10" t="inlineStr">
        <is>
          <t>Sep 2025</t>
        </is>
      </c>
      <c r="D9" s="10" t="inlineStr">
        <is>
          <t>Principle: compensation plus administration must stay below the net revenue-requirement reduction; no technology cost values</t>
        </is>
      </c>
      <c r="E9" s="10" t="inlineStr">
        <is>
          <t>https://www.masscec.com/sites/default/files/documents/masscec_grid_services_roadmap.pdf</t>
        </is>
      </c>
    </row>
    <row r="10" ht="26" customHeight="1">
      <c r="A10" s="9" t="inlineStr">
        <is>
          <t>S7</t>
        </is>
      </c>
      <c r="B10" s="10" t="inlineStr">
        <is>
          <t>LBNL, California DR Potential Study Phase 4 (main report and appendices)</t>
        </is>
      </c>
      <c r="C10" s="10" t="inlineStr">
        <is>
          <t>May 2024</t>
        </is>
      </c>
      <c r="D10" s="10" t="inlineStr">
        <is>
          <t>Technology and program cost characterization in Appendix C; tables could not be extracted here</t>
        </is>
      </c>
      <c r="E10" s="10" t="inlineStr">
        <is>
          <t>https://eta-publications.lbl.gov/sites/default/files/appendices_2024-05-21.pdf</t>
        </is>
      </c>
    </row>
    <row r="11" ht="26" customHeight="1">
      <c r="A11" s="9" t="inlineStr">
        <is>
          <t>S8</t>
        </is>
      </c>
      <c r="B11" s="10" t="inlineStr">
        <is>
          <t>Duke Nicholas Institute, Rethinking Load Growth (via Utility Dive)</t>
        </is>
      </c>
      <c r="C11" s="10" t="inlineStr">
        <is>
          <t>Feb 2025</t>
        </is>
      </c>
      <c r="D11" s="10" t="inlineStr">
        <is>
          <t>76 GW of flexible load at 0.25% curtailment, 126 GW at 1%; ~85–366 curtailment hours/yr; no cost estimates</t>
        </is>
      </c>
      <c r="E11" s="10" t="inlineStr">
        <is>
          <t>https://www.utilitydive.com/news/us-grid-headroom-flexible-load-data-center-ai-ev-duke-report/739767/</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15"/>
  <sheetViews>
    <sheetView zoomScaleNormal="100" workbookViewId="0">
      <selection activeCell="A1" sqref="A1"/>
    </sheetView>
  </sheetViews>
  <sheetFormatPr baseColWidth="10" defaultColWidth="8.6640625" defaultRowHeight="15"/>
  <cols>
    <col width="18" customWidth="1" min="1" max="1"/>
    <col width="110" customWidth="1" min="2" max="2"/>
  </cols>
  <sheetData>
    <row r="1" ht="18" customHeight="1">
      <c r="A1" s="47" t="inlineStr">
        <is>
          <t>Distribution Value Methodologies — Structural Comparison</t>
        </is>
      </c>
    </row>
    <row r="3" ht="30" customHeight="1">
      <c r="A3" s="46" t="inlineStr">
        <is>
          <t>Purpose</t>
        </is>
      </c>
      <c r="B3" s="48" t="inlineStr">
        <is>
          <t>Maps three paradigms for valuing distribution services — shadow price, engineering avoided cost, and market price — against their structural attributes, functional requirements, and the value streams in distribution deferral and bridge-to-wires applications.</t>
        </is>
      </c>
    </row>
    <row r="4" ht="7.5" customHeight="1">
      <c r="A4" s="46" t="n"/>
      <c r="B4" s="48" t="n"/>
    </row>
    <row r="5" ht="30" customHeight="1">
      <c r="A5" s="46" t="inlineStr">
        <is>
          <t>Tabs</t>
        </is>
      </c>
      <c r="B5" s="48" t="inlineStr">
        <is>
          <t>1. Paradigms — structural distinction plus functional requirements, in one table. Filter on Category.</t>
        </is>
      </c>
    </row>
    <row r="6" ht="30" customHeight="1">
      <c r="A6" s="46" t="n"/>
      <c r="B6" s="48" t="inlineStr">
        <is>
          <t>2. Value Streams — deferral and bridge-to-wires value streams, CA precedent, and how each paradigm models them. Filter on Application.</t>
        </is>
      </c>
    </row>
    <row r="7" ht="30" customHeight="1">
      <c r="A7" s="46" t="n"/>
      <c r="B7" s="48" t="inlineStr">
        <is>
          <t>3. Sources — full citation records keyed to the Citations column.</t>
        </is>
      </c>
    </row>
    <row r="8" ht="7.5" customHeight="1">
      <c r="A8" s="46" t="n"/>
      <c r="B8" s="48" t="n"/>
    </row>
    <row r="9" ht="30" customHeight="1">
      <c r="A9" s="46" t="inlineStr">
        <is>
          <t>Row IDs</t>
        </is>
      </c>
      <c r="B9" s="48" t="inlineStr">
        <is>
          <t>deferral_1 through deferral_6 and bridge_1 through bridge_7 on the Value Streams tab. Stable identifiers — cite them rather than row numbers.</t>
        </is>
      </c>
    </row>
    <row r="10" ht="7.5" customHeight="1">
      <c r="A10" s="46" t="n"/>
      <c r="B10" s="48" t="n"/>
    </row>
    <row r="11" ht="30" customHeight="1">
      <c r="A11" s="46" t="inlineStr">
        <is>
          <t>Column order</t>
        </is>
      </c>
      <c r="B11" s="48" t="inlineStr">
        <is>
          <t>ID and Application first, then Value stream and Definition, then CA precedent (shaded), then the three paradigms, then Citations.</t>
        </is>
      </c>
    </row>
    <row r="12" ht="7.5" customHeight="1">
      <c r="A12" s="46" t="n"/>
      <c r="B12" s="48" t="n"/>
    </row>
    <row r="13" ht="30" customHeight="1">
      <c r="A13" s="46" t="inlineStr">
        <is>
          <t>Citations</t>
        </is>
      </c>
      <c r="B13" s="48" t="inlineStr">
        <is>
          <t>Short keys (S1, S2, ...) resolve on the Sources tab. Rows marked UNVERIFIED on that tab should be confirmed against the primary document before external use.</t>
        </is>
      </c>
    </row>
    <row r="14" ht="7.5" customHeight="1">
      <c r="A14" s="46" t="n"/>
      <c r="B14" s="48" t="n"/>
    </row>
    <row r="15" ht="30" customHeight="1">
      <c r="A15" s="46" t="inlineStr">
        <is>
          <t>Caveat</t>
        </is>
      </c>
      <c r="B15" s="48" t="inlineStr">
        <is>
          <t>The CA precedent column records where a value stream is addressed in existing CA regulatory vehicles, including where it is named but not monetized. 'None' means no vehicle addresses it, not that the stream is immaterial.</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15" customWidth="1" min="1" max="1"/>
    <col width="20" customWidth="1" min="2" max="2"/>
    <col width="40" customWidth="1" min="3" max="3"/>
    <col width="38" customWidth="1" min="4" max="5"/>
    <col width="24" customWidth="1" min="6" max="6"/>
  </cols>
  <sheetData>
    <row r="1" ht="16" customHeight="1">
      <c r="A1" s="49" t="inlineStr">
        <is>
          <t>1. Paradigms — structure and functional requirements</t>
        </is>
      </c>
    </row>
    <row r="3">
      <c r="A3" s="50" t="inlineStr">
        <is>
          <t>Category</t>
        </is>
      </c>
      <c r="B3" s="50" t="inlineStr">
        <is>
          <t>Dimension</t>
        </is>
      </c>
      <c r="C3" s="50" t="inlineStr">
        <is>
          <t>Shadow price</t>
        </is>
      </c>
      <c r="D3" s="50" t="inlineStr">
        <is>
          <t>Engineering avoided cost</t>
        </is>
      </c>
      <c r="E3" s="50" t="inlineStr">
        <is>
          <t>Market price</t>
        </is>
      </c>
      <c r="F3" s="50" t="inlineStr">
        <is>
          <t>Citations</t>
        </is>
      </c>
    </row>
    <row r="4" ht="28" customHeight="1">
      <c r="A4" s="51" t="inlineStr">
        <is>
          <t>Structure</t>
        </is>
      </c>
      <c r="B4" s="51" t="inlineStr">
        <is>
          <t>Exemplars</t>
        </is>
      </c>
      <c r="C4" s="52" t="inlineStr">
        <is>
          <t>Caramanis DLMP; LBNL ADC dual-variable approach; Perez-Arriaga LRMC</t>
        </is>
      </c>
      <c r="D4" s="52" t="inlineStr">
        <is>
          <t>ACC DAC; LODGE as applied; GB LRIC; RIT-D base case</t>
        </is>
      </c>
      <c r="E4" s="52" t="inlineStr">
        <is>
          <t>GOPACS; GB SLC 31E tenders; DIDF; NY NWS</t>
        </is>
      </c>
      <c r="F4" s="52" t="inlineStr">
        <is>
          <t>S5, S2, S8, S15, S9, S11, S12</t>
        </is>
      </c>
    </row>
    <row r="5">
      <c r="A5" s="53" t="inlineStr">
        <is>
          <t>Structure</t>
        </is>
      </c>
      <c r="B5" s="53" t="inlineStr">
        <is>
          <t>Value is</t>
        </is>
      </c>
      <c r="C5" s="54" t="inlineStr">
        <is>
          <t>A dual variable on a binding constraint</t>
        </is>
      </c>
      <c r="D5" s="54" t="inlineStr">
        <is>
          <t>A modeled counterfactual cost</t>
        </is>
      </c>
      <c r="E5" s="54" t="inlineStr">
        <is>
          <t>A revealed clearing price</t>
        </is>
      </c>
      <c r="F5" s="54" t="inlineStr">
        <is>
          <t>S7, S5</t>
        </is>
      </c>
    </row>
    <row r="6">
      <c r="A6" s="51" t="inlineStr">
        <is>
          <t>Structure</t>
        </is>
      </c>
      <c r="B6" s="51" t="inlineStr">
        <is>
          <t>Produced by</t>
        </is>
      </c>
      <c r="C6" s="52" t="inlineStr">
        <is>
          <t>Solving an optimization</t>
        </is>
      </c>
      <c r="D6" s="52" t="inlineStr">
        <is>
          <t>Building an estimate</t>
        </is>
      </c>
      <c r="E6" s="52" t="inlineStr">
        <is>
          <t>Running a procurement</t>
        </is>
      </c>
      <c r="F6" s="52" t="inlineStr">
        <is>
          <t>—</t>
        </is>
      </c>
    </row>
    <row r="7">
      <c r="A7" s="53" t="inlineStr">
        <is>
          <t>Structure</t>
        </is>
      </c>
      <c r="B7" s="53" t="inlineStr">
        <is>
          <t>Fails when</t>
        </is>
      </c>
      <c r="C7" s="54" t="inlineStr">
        <is>
          <t>Constraints are lumpy or non-convex</t>
        </is>
      </c>
      <c r="D7" s="54" t="inlineStr">
        <is>
          <t>The counterfactual is unverifiable</t>
        </is>
      </c>
      <c r="E7" s="54" t="inlineStr">
        <is>
          <t>The market is thin or the need is uncertain</t>
        </is>
      </c>
      <c r="F7" s="54" t="inlineStr">
        <is>
          <t>S13, S16</t>
        </is>
      </c>
    </row>
    <row r="8" ht="28" customHeight="1">
      <c r="A8" s="51" t="inlineStr">
        <is>
          <t>Functional req</t>
        </is>
      </c>
      <c r="B8" s="51" t="inlineStr">
        <is>
          <t>Network model</t>
        </is>
      </c>
      <c r="C8" s="52" t="inlineStr">
        <is>
          <t>Full AC topology, impedances, three-phase, secondary</t>
        </is>
      </c>
      <c r="D8" s="52" t="inlineStr">
        <is>
          <t>Circuit / substation deficiency accounting</t>
        </is>
      </c>
      <c r="E8" s="52" t="inlineStr">
        <is>
          <t>Constraint boundary and effectiveness check</t>
        </is>
      </c>
      <c r="F8" s="52" t="inlineStr">
        <is>
          <t>S5, S15, S12</t>
        </is>
      </c>
    </row>
    <row r="9" ht="28" customHeight="1">
      <c r="A9" s="53" t="inlineStr">
        <is>
          <t>Functional req</t>
        </is>
      </c>
      <c r="B9" s="53" t="inlineStr">
        <is>
          <t>Asset data</t>
        </is>
      </c>
      <c r="C9" s="54" t="inlineStr">
        <is>
          <t>Ratings plus thermal parameters, loss ratios, ambient</t>
        </is>
      </c>
      <c r="D9" s="54" t="inlineStr">
        <is>
          <t>Unit costs and planned project scope</t>
        </is>
      </c>
      <c r="E9" s="54" t="inlineStr">
        <is>
          <t>Rating and violation threshold</t>
        </is>
      </c>
      <c r="F9" s="54" t="inlineStr">
        <is>
          <t>S5, S19</t>
        </is>
      </c>
    </row>
    <row r="10">
      <c r="A10" s="51" t="inlineStr">
        <is>
          <t>Functional req</t>
        </is>
      </c>
      <c r="B10" s="51" t="inlineStr">
        <is>
          <t>Forecast</t>
        </is>
      </c>
      <c r="C10" s="52" t="inlineStr">
        <is>
          <t>Nodal, day-ahead</t>
        </is>
      </c>
      <c r="D10" s="52" t="inlineStr">
        <is>
          <t>Multi-year scenario, circuit level</t>
        </is>
      </c>
      <c r="E10" s="52" t="inlineStr">
        <is>
          <t>Need date, MW, hours, lead time</t>
        </is>
      </c>
      <c r="F10" s="52" t="inlineStr">
        <is>
          <t>S5, S15</t>
        </is>
      </c>
    </row>
    <row r="11">
      <c r="A11" s="53" t="inlineStr">
        <is>
          <t>Functional req</t>
        </is>
      </c>
      <c r="B11" s="53" t="inlineStr">
        <is>
          <t>Measurement</t>
        </is>
      </c>
      <c r="C11" s="54" t="inlineStr">
        <is>
          <t>State estimation; AMI floor</t>
        </is>
      </c>
      <c r="D11" s="54" t="inlineStr">
        <is>
          <t>Historical peak, capital records</t>
        </is>
      </c>
      <c r="E11" s="54" t="inlineStr">
        <is>
          <t>Baselining and M&amp;V per resource</t>
        </is>
      </c>
      <c r="F11" s="54" t="inlineStr">
        <is>
          <t>S5</t>
        </is>
      </c>
    </row>
    <row r="12">
      <c r="A12" s="51" t="inlineStr">
        <is>
          <t>Functional req</t>
        </is>
      </c>
      <c r="B12" s="51" t="inlineStr">
        <is>
          <t>DER requirement</t>
        </is>
      </c>
      <c r="C12" s="52" t="inlineStr">
        <is>
          <t>Controllable, price-responsive, communicating</t>
        </is>
      </c>
      <c r="D12" s="52" t="inlineStr">
        <is>
          <t>None — a modeled quantity</t>
        </is>
      </c>
      <c r="E12" s="52" t="inlineStr">
        <is>
          <t>Dispatchable with performance obligation</t>
        </is>
      </c>
      <c r="F12" s="52" t="inlineStr">
        <is>
          <t>S5, S14</t>
        </is>
      </c>
    </row>
    <row r="13">
      <c r="A13" s="53" t="inlineStr">
        <is>
          <t>Functional req</t>
        </is>
      </c>
      <c r="B13" s="53" t="inlineStr">
        <is>
          <t>Computation</t>
        </is>
      </c>
      <c r="C13" s="54" t="inlineStr">
        <is>
          <t>SOCP per feeder-day</t>
        </is>
      </c>
      <c r="D13" s="54" t="inlineStr">
        <is>
          <t>Spreadsheet to moderate optimization</t>
        </is>
      </c>
      <c r="E13" s="54" t="inlineStr">
        <is>
          <t>Bid selection</t>
        </is>
      </c>
      <c r="F13" s="54" t="inlineStr">
        <is>
          <t>S5, S1</t>
        </is>
      </c>
    </row>
    <row r="14">
      <c r="A14" s="51" t="inlineStr">
        <is>
          <t>Functional req</t>
        </is>
      </c>
      <c r="B14" s="51" t="inlineStr">
        <is>
          <t>Institutions</t>
        </is>
      </c>
      <c r="C14" s="52" t="inlineStr">
        <is>
          <t>Neutral DSO or market operator</t>
        </is>
      </c>
      <c r="D14" s="52" t="inlineStr">
        <is>
          <t>Proceeding, working group, consultant</t>
        </is>
      </c>
      <c r="E14" s="52" t="inlineStr">
        <is>
          <t>Platform, contract, evaluator, credit regime</t>
        </is>
      </c>
      <c r="F14" s="52" t="inlineStr">
        <is>
          <t>S8, S14</t>
        </is>
      </c>
    </row>
    <row r="15">
      <c r="A15" s="53" t="inlineStr">
        <is>
          <t>Functional req</t>
        </is>
      </c>
      <c r="B15" s="53" t="inlineStr">
        <is>
          <t>Regulatory vehicle</t>
        </is>
      </c>
      <c r="C15" s="54" t="inlineStr">
        <is>
          <t>Node-hour-varying tariff (does not exist in CA)</t>
        </is>
      </c>
      <c r="D15" s="54" t="inlineStr">
        <is>
          <t>Adopted ACC methodology</t>
        </is>
      </c>
      <c r="E15" s="54" t="inlineStr">
        <is>
          <t>Procurement authority; opex / capex parity</t>
        </is>
      </c>
      <c r="F15" s="54" t="inlineStr">
        <is>
          <t>S8, S11, S15</t>
        </is>
      </c>
    </row>
    <row r="16">
      <c r="A16" s="51" t="inlineStr">
        <is>
          <t>Functional req</t>
        </is>
      </c>
      <c r="B16" s="51" t="inlineStr">
        <is>
          <t>Repeat cadence</t>
        </is>
      </c>
      <c r="C16" s="52" t="inlineStr">
        <is>
          <t>Continuous</t>
        </is>
      </c>
      <c r="D16" s="52" t="inlineStr">
        <is>
          <t>Per ACC vintage</t>
        </is>
      </c>
      <c r="E16" s="52" t="inlineStr">
        <is>
          <t>Essential for price formation</t>
        </is>
      </c>
      <c r="F16" s="52" t="inlineStr">
        <is>
          <t>S11, S12, S16</t>
        </is>
      </c>
    </row>
    <row r="18" ht="57.75" customHeight="1">
      <c r="A18" s="1" t="inlineStr">
        <is>
          <t>The three paradigms are not nested: you cannot reach shadow pricing by incrementally improving the avoided-cost method, because the required inputs differ in kind. Market price carries the lowest data burden on the utility and the highest institutional burden — which is why GB and the Netherlands moved fastest without better models than California.</t>
        </is>
      </c>
    </row>
  </sheetData>
  <mergeCells count="1">
    <mergeCell ref="A18:F18"/>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22"/>
  <sheetViews>
    <sheetView zoomScaleNormal="100" workbookViewId="0">
      <pane xSplit="3" ySplit="3" topLeftCell="D4" activePane="bottomRight" state="frozen"/>
      <selection pane="topRight" activeCell="D1" sqref="D1"/>
      <selection pane="bottomLeft" activeCell="A4" sqref="A4"/>
      <selection pane="bottomRight" activeCell="A1" sqref="A1"/>
    </sheetView>
  </sheetViews>
  <sheetFormatPr baseColWidth="10" defaultColWidth="8.6640625" defaultRowHeight="15"/>
  <cols>
    <col width="11" customWidth="1" min="1" max="1"/>
    <col width="14" customWidth="1" min="2" max="2"/>
    <col width="24" customWidth="1" min="3" max="3"/>
    <col width="40" customWidth="1" min="4" max="4"/>
    <col width="46" customWidth="1" min="5" max="5"/>
    <col width="40" customWidth="1" min="6" max="6"/>
    <col width="38" customWidth="1" min="7" max="7"/>
    <col width="36" customWidth="1" min="8" max="8"/>
    <col width="17" customWidth="1" min="9" max="9"/>
  </cols>
  <sheetData>
    <row r="1" ht="16" customHeight="1">
      <c r="A1" s="49" t="inlineStr">
        <is>
          <t>2. Value streams — deferral and bridge-to-wires</t>
        </is>
      </c>
    </row>
    <row r="3">
      <c r="A3" s="50" t="inlineStr">
        <is>
          <t>ID</t>
        </is>
      </c>
      <c r="B3" s="50" t="inlineStr">
        <is>
          <t>Application</t>
        </is>
      </c>
      <c r="C3" s="50" t="inlineStr">
        <is>
          <t>Value stream</t>
        </is>
      </c>
      <c r="D3" s="50" t="inlineStr">
        <is>
          <t>Definition</t>
        </is>
      </c>
      <c r="E3" s="50" t="inlineStr">
        <is>
          <t>CA precedent</t>
        </is>
      </c>
      <c r="F3" s="50" t="inlineStr">
        <is>
          <t>Shadow price</t>
        </is>
      </c>
      <c r="G3" s="50" t="inlineStr">
        <is>
          <t>Engineering avoided cost</t>
        </is>
      </c>
      <c r="H3" s="50" t="inlineStr">
        <is>
          <t>Market price</t>
        </is>
      </c>
      <c r="I3" s="50" t="inlineStr">
        <is>
          <t>Citations</t>
        </is>
      </c>
    </row>
    <row r="4" ht="42" customHeight="1">
      <c r="A4" s="51" t="inlineStr">
        <is>
          <t>deferral_1</t>
        </is>
      </c>
      <c r="B4" s="51" t="inlineStr">
        <is>
          <t>Deferral</t>
        </is>
      </c>
      <c r="C4" s="52" t="inlineStr">
        <is>
          <t>Deferred capital carrying cost</t>
        </is>
      </c>
      <c r="D4" s="52" t="inlineStr">
        <is>
          <t>Time value of shifting a planned capital project to the right; the primary stream</t>
        </is>
      </c>
      <c r="E4" s="55" t="inlineStr">
        <is>
          <t>DDOR deferral value per candidate project, bounded by GNA deficiency; ACC DAC supplies the unit cost. Ratio-of-sums construction is the known weak point</t>
        </is>
      </c>
      <c r="F4" s="52" t="inlineStr">
        <is>
          <t>Dual on the multi-period investment / capacity constraint; LBNL's proposed move is duals on load-increasing / decreasing DERs in LODGE</t>
        </is>
      </c>
      <c r="G4" s="52" t="inlineStr">
        <is>
          <t>Unit deferral cost ($/kW-yr) x deferrable deficiency x deferral years; RECC or present-worth-of-deferral</t>
        </is>
      </c>
      <c r="H4" s="52" t="inlineStr">
        <is>
          <t>Clearing price of a multi-year availability contract with obligation at need hours</t>
        </is>
      </c>
      <c r="I4" s="52" t="inlineStr">
        <is>
          <t>S15, S2, S16, S9</t>
        </is>
      </c>
    </row>
    <row r="5" ht="42" customHeight="1">
      <c r="A5" s="53" t="inlineStr">
        <is>
          <t>deferral_2</t>
        </is>
      </c>
      <c r="B5" s="53" t="inlineStr">
        <is>
          <t>Deferral</t>
        </is>
      </c>
      <c r="C5" s="54" t="inlineStr">
        <is>
          <t>Avoided O&amp;M on the deferred asset</t>
        </is>
      </c>
      <c r="D5" s="54" t="inlineStr">
        <is>
          <t>Operating and maintenance cost not incurred while the asset is unbuilt; secondary and usually omitted</t>
        </is>
      </c>
      <c r="E5" s="55" t="inlineStr">
        <is>
          <t>None — O&amp;M sits in the GRC, not in DDOR deferral value</t>
        </is>
      </c>
      <c r="F5" s="54" t="inlineStr">
        <is>
          <t>Falls out if O&amp;M is in the objective</t>
        </is>
      </c>
      <c r="G5" s="54" t="inlineStr">
        <is>
          <t>Separate adder, generally absent</t>
        </is>
      </c>
      <c r="H5" s="54" t="inlineStr">
        <is>
          <t>Bundled into the bid, not separately observable</t>
        </is>
      </c>
      <c r="I5" s="54" t="inlineStr">
        <is>
          <t>S15, S1</t>
        </is>
      </c>
    </row>
    <row r="6" ht="42" customHeight="1">
      <c r="A6" s="51" t="inlineStr">
        <is>
          <t>deferral_3</t>
        </is>
      </c>
      <c r="B6" s="51" t="inlineStr">
        <is>
          <t>Deferral</t>
        </is>
      </c>
      <c r="C6" s="52" t="inlineStr">
        <is>
          <t>Option value under forecast uncertainty</t>
        </is>
      </c>
      <c r="D6" s="52" t="inlineStr">
        <is>
          <t>Value of retaining the right to not build while load materializes or does not; real but unmonetized in current practice</t>
        </is>
      </c>
      <c r="E6" s="55" t="inlineStr">
        <is>
          <t>DIDF annual re-screening is de facto option behavior, unmonetized. IGP scenario framework is the likeliest vehicle to formalize it</t>
        </is>
      </c>
      <c r="F6" s="52" t="inlineStr">
        <is>
          <t>Not captured; deterministic formulations price the realized path</t>
        </is>
      </c>
      <c r="G6" s="52" t="inlineStr">
        <is>
          <t>Not captured; RIT-D scenario weighting is the nearest regulatory analogue</t>
        </is>
      </c>
      <c r="H6" s="52" t="inlineStr">
        <is>
          <t>Captured implicitly in contract tenor and termination terms</t>
        </is>
      </c>
      <c r="I6" s="52" t="inlineStr">
        <is>
          <t>S9, S10, S15</t>
        </is>
      </c>
    </row>
    <row r="7" ht="42" customHeight="1">
      <c r="A7" s="53" t="inlineStr">
        <is>
          <t>deferral_4</t>
        </is>
      </c>
      <c r="B7" s="53" t="inlineStr">
        <is>
          <t>Deferral</t>
        </is>
      </c>
      <c r="C7" s="54" t="inlineStr">
        <is>
          <t>Avoided marginal line losses</t>
        </is>
      </c>
      <c r="D7" s="54" t="inlineStr">
        <is>
          <t>Losses not incurred from reduced flow on the constrained element; confounding, interacts with deferral_1</t>
        </is>
      </c>
      <c r="E7" s="55" t="inlineStr">
        <is>
          <t>ACC loss factors, applied independently of DAC — the double-count is live</t>
        </is>
      </c>
      <c r="F7" s="54" t="inlineStr">
        <is>
          <t>Native; a distinct DLMC component</t>
        </is>
      </c>
      <c r="G7" s="54" t="inlineStr">
        <is>
          <t>Separate ACC component; double-count risk against DAC</t>
        </is>
      </c>
      <c r="H7" s="54" t="inlineStr">
        <is>
          <t>Not a product</t>
        </is>
      </c>
      <c r="I7" s="54" t="inlineStr">
        <is>
          <t>S5, S15</t>
        </is>
      </c>
    </row>
    <row r="8" ht="56" customHeight="1">
      <c r="A8" s="51" t="inlineStr">
        <is>
          <t>deferral_5</t>
        </is>
      </c>
      <c r="B8" s="51" t="inlineStr">
        <is>
          <t>Deferral</t>
        </is>
      </c>
      <c r="C8" s="52" t="inlineStr">
        <is>
          <t>Avoided reliability degradation pre-upgrade</t>
        </is>
      </c>
      <c r="D8" s="52" t="inlineStr">
        <is>
          <t>Reliability value of relieving a constrained element in the window before the upgrade lands; partially double-counts with bridge_1 / bridge_2</t>
        </is>
      </c>
      <c r="E8" s="55" t="inlineStr">
        <is>
          <t>GNA carries reliability as a separate need category from capacity; DIDF deferral value keys on capacity only</t>
        </is>
      </c>
      <c r="F8" s="52" t="inlineStr">
        <is>
          <t>Native via voltage / ampacity congestion terms</t>
        </is>
      </c>
      <c r="G8" s="52" t="inlineStr">
        <is>
          <t>Not modeled</t>
        </is>
      </c>
      <c r="H8" s="52" t="inlineStr">
        <is>
          <t>Not a product</t>
        </is>
      </c>
      <c r="I8" s="52" t="inlineStr">
        <is>
          <t>S5, S15</t>
        </is>
      </c>
    </row>
    <row r="9" ht="28" customHeight="1">
      <c r="A9" s="53" t="inlineStr">
        <is>
          <t>deferral_6</t>
        </is>
      </c>
      <c r="B9" s="53" t="inlineStr">
        <is>
          <t>Deferral</t>
        </is>
      </c>
      <c r="C9" s="54" t="inlineStr">
        <is>
          <t>Deferred permitting, siting, community impact</t>
        </is>
      </c>
      <c r="D9" s="54" t="inlineStr">
        <is>
          <t>Non-construction costs of project execution pushed out with the asset; rarely quantified</t>
        </is>
      </c>
      <c r="E9" s="55" t="inlineStr">
        <is>
          <t>None</t>
        </is>
      </c>
      <c r="F9" s="54" t="inlineStr">
        <is>
          <t>Not modeled</t>
        </is>
      </c>
      <c r="G9" s="54" t="inlineStr">
        <is>
          <t>Not modeled</t>
        </is>
      </c>
      <c r="H9" s="54" t="inlineStr">
        <is>
          <t>Internalized only in the avoided project's cost estimate</t>
        </is>
      </c>
      <c r="I9" s="54" t="inlineStr">
        <is>
          <t>—</t>
        </is>
      </c>
    </row>
    <row r="10" ht="42" customHeight="1">
      <c r="A10" s="51" t="inlineStr">
        <is>
          <t>bridge_1</t>
        </is>
      </c>
      <c r="B10" s="51" t="inlineStr">
        <is>
          <t>Bridge-to-wires</t>
        </is>
      </c>
      <c r="C10" s="52" t="inlineStr">
        <is>
          <t>Avoided unserved energy in the gap</t>
        </is>
      </c>
      <c r="D10" s="52" t="inlineStr">
        <is>
          <t>Load not served between need date and in-service date, valued at VOLL; the primary stream</t>
        </is>
      </c>
      <c r="E10" s="55" t="inlineStr">
        <is>
          <t>GNA capacity deficiency defines the gap but carries no VOLL. Nearest monetization is the S-MAP / RAMP risk-spend framework, on a separate track from DIDF</t>
        </is>
      </c>
      <c r="F10" s="52" t="inlineStr">
        <is>
          <t>Native — the nodal balance dual converges to VOLL as the constraint binds to infeasibility</t>
        </is>
      </c>
      <c r="G10" s="52" t="inlineStr">
        <is>
          <t>VOLL x expected unserved MWh from an LOLP run</t>
        </is>
      </c>
      <c r="H10" s="52" t="inlineStr">
        <is>
          <t>Not priced directly; implied by the utility's reservation price</t>
        </is>
      </c>
      <c r="I10" s="52" t="inlineStr">
        <is>
          <t>S5, S15</t>
        </is>
      </c>
    </row>
    <row r="11" ht="28" customHeight="1">
      <c r="A11" s="53" t="inlineStr">
        <is>
          <t>bridge_2</t>
        </is>
      </c>
      <c r="B11" s="53" t="inlineStr">
        <is>
          <t>Bridge-to-wires</t>
        </is>
      </c>
      <c r="C11" s="54" t="inlineStr">
        <is>
          <t>Avoided service standard or penalty exposure</t>
        </is>
      </c>
      <c r="D11" s="54" t="inlineStr">
        <is>
          <t>Regulatory consequence of reliability violation during the gap; regulatory rather than economic</t>
        </is>
      </c>
      <c r="E11" s="55" t="inlineStr">
        <is>
          <t>GO 166 and SAIDI / SAIFI reporting; not monetized in any deferral or ACC vehicle</t>
        </is>
      </c>
      <c r="F11" s="54" t="inlineStr">
        <is>
          <t>Not representable — a penalty is not a marginal cost</t>
        </is>
      </c>
      <c r="G11" s="54" t="inlineStr">
        <is>
          <t>Expected penalty x violation probability</t>
        </is>
      </c>
      <c r="H11" s="54" t="inlineStr">
        <is>
          <t>Sets the procurement budget ceiling</t>
        </is>
      </c>
      <c r="I11" s="54" t="inlineStr">
        <is>
          <t>S21</t>
        </is>
      </c>
    </row>
    <row r="12" ht="42" customHeight="1">
      <c r="A12" s="51" t="inlineStr">
        <is>
          <t>bridge_3</t>
        </is>
      </c>
      <c r="B12" s="51" t="inlineStr">
        <is>
          <t>Bridge-to-wires</t>
        </is>
      </c>
      <c r="C12" s="52" t="inlineStr">
        <is>
          <t>Enabled load otherwise blocked</t>
        </is>
      </c>
      <c r="D12" s="52" t="inlineStr">
        <is>
          <t>New load that can energize because the bridge exists; speed-to-power, often the largest stream</t>
        </is>
      </c>
      <c r="E12" s="55" t="inlineStr">
        <is>
          <t>SB 410 energization timelines and the CPUC energization proceeding — the strongest CA hook, with no valuation method attached</t>
        </is>
      </c>
      <c r="F12" s="52" t="inlineStr">
        <is>
          <t>Not representable in operational OPF; needs an interconnection-queue model</t>
        </is>
      </c>
      <c r="G12" s="52" t="inlineStr">
        <is>
          <t>Avoided revenue loss or deferred contribution; no standard method</t>
        </is>
      </c>
      <c r="H12" s="52" t="inlineStr">
        <is>
          <t>Observable where the enabled customer funds the bridge</t>
        </is>
      </c>
      <c r="I12" s="52" t="inlineStr">
        <is>
          <t>S20</t>
        </is>
      </c>
    </row>
    <row r="13" ht="42" customHeight="1">
      <c r="A13" s="53" t="inlineStr">
        <is>
          <t>bridge_4</t>
        </is>
      </c>
      <c r="B13" s="53" t="inlineStr">
        <is>
          <t>Bridge-to-wires</t>
        </is>
      </c>
      <c r="C13" s="54" t="inlineStr">
        <is>
          <t>Avoided temporary measures</t>
        </is>
      </c>
      <c r="D13" s="54" t="inlineStr">
        <is>
          <t>Mobile generation, equipment rentals, and their fuel and emissions, not procured; direct cost substitution</t>
        </is>
      </c>
      <c r="E13" s="55" t="inlineStr">
        <is>
          <t>GRC cost recovery for temporary generation; no standing valuation construct</t>
        </is>
      </c>
      <c r="F13" s="54" t="inlineStr">
        <is>
          <t>Enters only if temporary resources are in the choice set</t>
        </is>
      </c>
      <c r="G13" s="54" t="inlineStr">
        <is>
          <t>Direct cost-of-alternative comparison; E3's MassCEC approach</t>
        </is>
      </c>
      <c r="H13" s="54" t="inlineStr">
        <is>
          <t>Competing bid in the same solicitation</t>
        </is>
      </c>
      <c r="I13" s="54" t="inlineStr">
        <is>
          <t>S18</t>
        </is>
      </c>
    </row>
    <row r="14" ht="42" customHeight="1">
      <c r="A14" s="51" t="inlineStr">
        <is>
          <t>bridge_5</t>
        </is>
      </c>
      <c r="B14" s="51" t="inlineStr">
        <is>
          <t>Bridge-to-wires</t>
        </is>
      </c>
      <c r="C14" s="52" t="inlineStr">
        <is>
          <t>Avoided expedited-construction premium</t>
        </is>
      </c>
      <c r="D14" s="52" t="inlineStr">
        <is>
          <t>Overtime, expedited procurement, and schedule-compression cost not incurred; direct cost substitution</t>
        </is>
      </c>
      <c r="E14" s="55" t="inlineStr">
        <is>
          <t>GRC; stage-gate cost estimates in the distribution capital plan</t>
        </is>
      </c>
      <c r="F14" s="52" t="inlineStr">
        <is>
          <t>Not modeled</t>
        </is>
      </c>
      <c r="G14" s="52" t="inlineStr">
        <is>
          <t>Delta between expedited and base construction estimate</t>
        </is>
      </c>
      <c r="H14" s="52" t="inlineStr">
        <is>
          <t>Competing bid</t>
        </is>
      </c>
      <c r="I14" s="52" t="inlineStr">
        <is>
          <t>—</t>
        </is>
      </c>
    </row>
    <row r="15" ht="42" customHeight="1">
      <c r="A15" s="53" t="inlineStr">
        <is>
          <t>bridge_6</t>
        </is>
      </c>
      <c r="B15" s="53" t="inlineStr">
        <is>
          <t>Bridge-to-wires</t>
        </is>
      </c>
      <c r="C15" s="54" t="inlineStr">
        <is>
          <t>Avoided asset degradation during overload</t>
        </is>
      </c>
      <c r="D15" s="54" t="inlineStr">
        <is>
          <t>Transformer and conductor loss-of-life from operating above rating in the gap; real and typically unpriced</t>
        </is>
      </c>
      <c r="E15" s="55" t="inlineStr">
        <is>
          <t>EIS Part 1 (Kevala) modeled electrification-driven transformer impacts — closest CA precedent, stops short of a $ value</t>
        </is>
      </c>
      <c r="F15" s="54" t="inlineStr">
        <is>
          <t>Native — intertemporally coupled degradation from IEEE C57.91 aging acceleration</t>
        </is>
      </c>
      <c r="G15" s="54" t="inlineStr">
        <is>
          <t>Not modeled</t>
        </is>
      </c>
      <c r="H15" s="54" t="inlineStr">
        <is>
          <t>Not a product</t>
        </is>
      </c>
      <c r="I15" s="54" t="inlineStr">
        <is>
          <t>S5, S17, S19</t>
        </is>
      </c>
    </row>
    <row r="16" ht="42" customHeight="1">
      <c r="A16" s="51" t="inlineStr">
        <is>
          <t>bridge_7</t>
        </is>
      </c>
      <c r="B16" s="51" t="inlineStr">
        <is>
          <t>Bridge-to-wires</t>
        </is>
      </c>
      <c r="C16" s="52" t="inlineStr">
        <is>
          <t>Customer-side cost of delay</t>
        </is>
      </c>
      <c r="D16" s="52" t="inlineStr">
        <is>
          <t>Cost borne by the blocked customer from delayed energization; external to the utility test, central to the customer's</t>
        </is>
      </c>
      <c r="E16" s="55" t="inlineStr">
        <is>
          <t>SB 410 again; the statute is premised on this cost without quantifying it</t>
        </is>
      </c>
      <c r="F16" s="52" t="inlineStr">
        <is>
          <t>Not modeled</t>
        </is>
      </c>
      <c r="G16" s="52" t="inlineStr">
        <is>
          <t>Excluded from the utility test; included under a societal test</t>
        </is>
      </c>
      <c r="H16" s="52" t="inlineStr">
        <is>
          <t>Revealed only in bilateral or customer-funded arrangements</t>
        </is>
      </c>
      <c r="I16" s="52" t="inlineStr">
        <is>
          <t>S20</t>
        </is>
      </c>
    </row>
    <row r="18" ht="57.75" customHeight="1">
      <c r="A18" s="1" t="inlineStr">
        <is>
          <t>Deferral: deferral_1 is the only stream all three paradigms address, and it is where the shadow-price column is weakest — with lumpy investment the dual is zero or the full project cost, with nothing between. The engineering column exists because that dual is ill-defined. The CA column shows the consequence: DIDF monetizes deferral_1 alone, and the four streams it omits are not small.</t>
        </is>
      </c>
    </row>
    <row r="20" ht="57.75" customHeight="1">
      <c r="A20" s="1" t="inlineStr">
        <is>
          <t>Bridge-to-wires: the application fits the shadow-price and market-price columns better than the engineering column, inverting the deferral case. The need is near-certain and near-term, which makes the dual well-defined (a constraint binds or it does not) and the resource biddable (short tenor, verifiable window). Deferral is distant, uncertain, and lumpy.</t>
        </is>
      </c>
    </row>
    <row r="22" ht="57.75" customHeight="1">
      <c r="A22" s="1" t="inlineStr">
        <is>
          <t>Bridge-to-wires value streams are scattered across vehicles that do not talk to each other — GNA, S-MAP / RAMP, the energization proceeding, EIS, the GRC — with no single construct aggregating them, the opposite of the deferral case where DIDF concentrates everything into one undersized number. bridge_3 and bridge_7 are where statute has moved ahead of method: SB 410 creates an obligation premised on a cost nobody has a methodology to value.</t>
        </is>
      </c>
    </row>
  </sheetData>
  <mergeCells count="3">
    <mergeCell ref="A18:I18"/>
    <mergeCell ref="A20:I20"/>
    <mergeCell ref="A22:I22"/>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F26"/>
  <sheetViews>
    <sheetView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10" defaultColWidth="8.6640625" defaultRowHeight="15"/>
  <cols>
    <col width="7" customWidth="1" min="1" max="1"/>
    <col width="30" customWidth="1" min="2" max="2"/>
    <col width="46" customWidth="1" min="3" max="3"/>
    <col width="11" customWidth="1" min="4" max="4"/>
    <col width="62" customWidth="1" min="5" max="5"/>
    <col width="20" customWidth="1" min="6" max="6"/>
  </cols>
  <sheetData>
    <row r="1" ht="16" customHeight="1">
      <c r="A1" s="49" t="inlineStr">
        <is>
          <t>3. Sources</t>
        </is>
      </c>
    </row>
    <row r="3">
      <c r="A3" s="50" t="inlineStr">
        <is>
          <t>Key</t>
        </is>
      </c>
      <c r="B3" s="50" t="inlineStr">
        <is>
          <t>Author / issuer</t>
        </is>
      </c>
      <c r="C3" s="50" t="inlineStr">
        <is>
          <t>Title</t>
        </is>
      </c>
      <c r="D3" s="50" t="inlineStr">
        <is>
          <t>Date</t>
        </is>
      </c>
      <c r="E3" s="50" t="inlineStr">
        <is>
          <t>Locator and note</t>
        </is>
      </c>
      <c r="F3" s="50" t="inlineStr">
        <is>
          <t>Status</t>
        </is>
      </c>
    </row>
    <row r="4" ht="28" customHeight="1">
      <c r="A4" s="51" t="inlineStr">
        <is>
          <t>S1</t>
        </is>
      </c>
      <c r="B4" s="51" t="inlineStr">
        <is>
          <t>Heleno, M. et al.</t>
        </is>
      </c>
      <c r="C4" s="52" t="inlineStr">
        <is>
          <t>Assessing Costs of Community Solar Integration via Optimal Distribution Grid Expansion</t>
        </is>
      </c>
      <c r="D4" s="52" t="inlineStr">
        <is>
          <t>2024</t>
        </is>
      </c>
      <c r="E4" s="52" t="inlineStr">
        <is>
          <t>arXiv:2402.02035 — the LODGE formulation</t>
        </is>
      </c>
      <c r="F4" s="52" t="inlineStr">
        <is>
          <t>Verified</t>
        </is>
      </c>
    </row>
    <row r="5" ht="28" customHeight="1">
      <c r="A5" s="53" t="inlineStr">
        <is>
          <t>S2</t>
        </is>
      </c>
      <c r="B5" s="53" t="inlineStr">
        <is>
          <t>Lawrence Berkeley National Laboratory</t>
        </is>
      </c>
      <c r="C5" s="54" t="inlineStr">
        <is>
          <t>Avoided Distribution Cost Study Research Plan (draft)</t>
        </is>
      </c>
      <c r="D5" s="54" t="inlineStr">
        <is>
          <t>2025</t>
        </is>
      </c>
      <c r="E5" s="54" t="inlineStr">
        <is>
          <t>pda.energydataweb.com/api/view/4184 — proposes taking duals on load-increasing/decreasing DERs as a long-term avoided cost</t>
        </is>
      </c>
      <c r="F5" s="54" t="inlineStr">
        <is>
          <t>Verified</t>
        </is>
      </c>
    </row>
    <row r="6" ht="28" customHeight="1">
      <c r="A6" s="51" t="inlineStr">
        <is>
          <t>S3</t>
        </is>
      </c>
      <c r="B6" s="51" t="inlineStr">
        <is>
          <t>Heleno, Valenzuela Meza, Moreira da Silva, Rodriguez Garcia</t>
        </is>
      </c>
      <c r="C6" s="52" t="inlineStr">
        <is>
          <t>Least-cost Optimal Distribution Grid Expansion (LODGE) v1 [software]</t>
        </is>
      </c>
      <c r="D6" s="52" t="inlineStr">
        <is>
          <t>2024</t>
        </is>
      </c>
      <c r="E6" s="52" t="inlineStr">
        <is>
          <t>OSTI 2403299</t>
        </is>
      </c>
      <c r="F6" s="52" t="inlineStr">
        <is>
          <t>Verified</t>
        </is>
      </c>
    </row>
    <row r="7" ht="28" customHeight="1">
      <c r="A7" s="53" t="inlineStr">
        <is>
          <t>S4</t>
        </is>
      </c>
      <c r="B7" s="53" t="inlineStr">
        <is>
          <t>Heleno, Carvallo, Valenzuela, Leventis, Miller, Deason</t>
        </is>
      </c>
      <c r="C7" s="54" t="inlineStr">
        <is>
          <t>Distribution Grid Impacts of Community Solar</t>
        </is>
      </c>
      <c r="D7" s="54" t="inlineStr">
        <is>
          <t>2023</t>
        </is>
      </c>
      <c r="E7" s="54" t="inlineStr">
        <is>
          <t>LBNL; OSTI 2228583 — applied LODGE study</t>
        </is>
      </c>
      <c r="F7" s="54" t="inlineStr">
        <is>
          <t>Verified</t>
        </is>
      </c>
    </row>
    <row r="8" ht="42" customHeight="1">
      <c r="A8" s="51" t="inlineStr">
        <is>
          <t>S5</t>
        </is>
      </c>
      <c r="B8" s="51" t="inlineStr">
        <is>
          <t>Andrianesis, Caramanis, et al.</t>
        </is>
      </c>
      <c r="C8" s="52" t="inlineStr">
        <is>
          <t>Distribution Network Marginal Costs: Enhanced AC OPF Including Transformer Degradation</t>
        </is>
      </c>
      <c r="D8" s="52" t="inlineStr">
        <is>
          <t>2020</t>
        </is>
      </c>
      <c r="E8" s="52" t="inlineStr">
        <is>
          <t>IEEE Transactions on Smart Grid; preprint par.nsf.gov/servlets/purl/10208117 — six-component DLMC decomposition, Holyoke feeder case</t>
        </is>
      </c>
      <c r="F8" s="52" t="inlineStr">
        <is>
          <t>Verified</t>
        </is>
      </c>
    </row>
    <row r="9" ht="28" customHeight="1">
      <c r="A9" s="53" t="inlineStr">
        <is>
          <t>S6</t>
        </is>
      </c>
      <c r="B9" s="53" t="inlineStr">
        <is>
          <t>Andrianesis, Caramanis, Masiello, Tabors, Bahramirad</t>
        </is>
      </c>
      <c r="C9" s="54" t="inlineStr">
        <is>
          <t>Locational Marginal Value of Distributed Energy Resources (ComEd)</t>
        </is>
      </c>
      <c r="D9" s="54" t="inlineStr">
        <is>
          <t>c. 2019</t>
        </is>
      </c>
      <c r="E9" s="54" t="inlineStr">
        <is>
          <t>Positions itself against the avoided-cost and present-worth capacity deferral literature. Confirm exact title and venue.</t>
        </is>
      </c>
      <c r="F9" s="54" t="inlineStr">
        <is>
          <t>UNVERIFIED</t>
        </is>
      </c>
    </row>
    <row r="10" ht="28" customHeight="1">
      <c r="A10" s="51" t="inlineStr">
        <is>
          <t>S7</t>
        </is>
      </c>
      <c r="B10" s="51" t="inlineStr">
        <is>
          <t>Schweppe, Caramanis, Tabors, Bohn</t>
        </is>
      </c>
      <c r="C10" s="52" t="inlineStr">
        <is>
          <t>Spot Pricing of Electricity</t>
        </is>
      </c>
      <c r="D10" s="52" t="inlineStr">
        <is>
          <t>1988</t>
        </is>
      </c>
      <c r="E10" s="52" t="inlineStr">
        <is>
          <t>Kluwer. Foundational text for locational marginal pricing.</t>
        </is>
      </c>
      <c r="F10" s="52" t="inlineStr">
        <is>
          <t>Verified</t>
        </is>
      </c>
    </row>
    <row r="11" ht="28" customHeight="1">
      <c r="A11" s="53" t="inlineStr">
        <is>
          <t>S8</t>
        </is>
      </c>
      <c r="B11" s="53" t="inlineStr">
        <is>
          <t>MIT Energy Initiative</t>
        </is>
      </c>
      <c r="C11" s="54" t="inlineStr">
        <is>
          <t>Utility of the Future</t>
        </is>
      </c>
      <c r="D11" s="54" t="inlineStr">
        <is>
          <t>2016</t>
        </is>
      </c>
      <c r="E11" s="54" t="inlineStr">
        <is>
          <t>Peak-coincident forward-looking network charge plus complementary fixed charge for sunk cost recovery. Perez-Arriaga chaired.</t>
        </is>
      </c>
      <c r="F11" s="54" t="inlineStr">
        <is>
          <t>Verified</t>
        </is>
      </c>
    </row>
    <row r="12" ht="28" customHeight="1">
      <c r="A12" s="51" t="inlineStr">
        <is>
          <t>S9</t>
        </is>
      </c>
      <c r="B12" s="51" t="inlineStr">
        <is>
          <t>Australian Energy Regulator</t>
        </is>
      </c>
      <c r="C12" s="52" t="inlineStr">
        <is>
          <t>Regulatory Investment Test for Distribution — Application Guidelines, Version 6</t>
        </is>
      </c>
      <c r="D12" s="52" t="inlineStr">
        <is>
          <t>Nov 2024</t>
        </is>
      </c>
      <c r="E12" s="52" t="inlineStr">
        <is>
          <t>Cost threshold $6m as at Nov 2024, rising to $7m from 1 Jan 2025.</t>
        </is>
      </c>
      <c r="F12" s="52" t="inlineStr">
        <is>
          <t>Verified</t>
        </is>
      </c>
    </row>
    <row r="13" ht="28" customHeight="1">
      <c r="A13" s="53" t="inlineStr">
        <is>
          <t>S10</t>
        </is>
      </c>
      <c r="B13" s="53" t="inlineStr">
        <is>
          <t>AEMC</t>
        </is>
      </c>
      <c r="C13" s="54" t="inlineStr">
        <is>
          <t>National Electricity Rules, clause 5.17 — Regulatory investment test for distribution</t>
        </is>
      </c>
      <c r="D13" s="54" t="inlineStr">
        <is>
          <t>current</t>
        </is>
      </c>
      <c r="E13" s="54" t="inlineStr">
        <is>
          <t>The binding rule the AER guidelines interpret.</t>
        </is>
      </c>
      <c r="F13" s="54" t="inlineStr">
        <is>
          <t>Verified</t>
        </is>
      </c>
    </row>
    <row r="14" ht="28" customHeight="1">
      <c r="A14" s="51" t="inlineStr">
        <is>
          <t>S11</t>
        </is>
      </c>
      <c r="B14" s="51" t="inlineStr">
        <is>
          <t>Ofgem</t>
        </is>
      </c>
      <c r="C14" s="52" t="inlineStr">
        <is>
          <t>Electricity Distribution Standard Licence Conditions, SLC 31E</t>
        </is>
      </c>
      <c r="D14" s="52" t="inlineStr">
        <is>
          <t>current</t>
        </is>
      </c>
      <c r="E14" s="52" t="inlineStr">
        <is>
          <t>Flexibility procurement obligations for GB distribution licensees. Amended repeatedly — verify current text on Ofgem's site.</t>
        </is>
      </c>
      <c r="F14" s="52" t="inlineStr">
        <is>
          <t>UNVERIFIED (text currency)</t>
        </is>
      </c>
    </row>
    <row r="15" ht="28" customHeight="1">
      <c r="A15" s="53" t="inlineStr">
        <is>
          <t>S12</t>
        </is>
      </c>
      <c r="B15" s="53" t="inlineStr">
        <is>
          <t>GOPACS</t>
        </is>
      </c>
      <c r="C15" s="54" t="inlineStr">
        <is>
          <t>Dutch joint grid-operator congestion platform</t>
        </is>
      </c>
      <c r="D15" s="54" t="inlineStr">
        <is>
          <t>ongoing</t>
        </is>
      </c>
      <c r="E15" s="54" t="inlineStr">
        <is>
          <t>Redispatch and capacity limitation contracts; publishes historical transactions with prices and volumes by area.</t>
        </is>
      </c>
      <c r="F15" s="54" t="inlineStr">
        <is>
          <t>Verified</t>
        </is>
      </c>
    </row>
    <row r="16" ht="42" customHeight="1">
      <c r="A16" s="51" t="inlineStr">
        <is>
          <t>S13</t>
        </is>
      </c>
      <c r="B16" s="51" t="inlineStr">
        <is>
          <t>Hirth, L. and Schlecht, I.</t>
        </is>
      </c>
      <c r="C16" s="52" t="inlineStr">
        <is>
          <t>Market-Based Redispatch in Zonal Electricity Markets: Inc-Dec Gaming as a Consequence of Inconsistent Power Market Design (not Market Power)</t>
        </is>
      </c>
      <c r="D16" s="52" t="inlineStr">
        <is>
          <t>2019</t>
        </is>
      </c>
      <c r="E16" s="52" t="inlineStr">
        <is>
          <t>SSRN 3286798 / ZBW esprep:194292. Gaming occurs absent locational market power.</t>
        </is>
      </c>
      <c r="F16" s="52" t="inlineStr">
        <is>
          <t>Verified</t>
        </is>
      </c>
    </row>
    <row r="17" ht="28" customHeight="1">
      <c r="A17" s="53" t="inlineStr">
        <is>
          <t>S14</t>
        </is>
      </c>
      <c r="B17" s="53" t="inlineStr">
        <is>
          <t>Schittekatte, T. and Meeus, L.</t>
        </is>
      </c>
      <c r="C17" s="54" t="inlineStr">
        <is>
          <t>Flexibility Markets: Q&amp;A with Project Pioneers</t>
        </is>
      </c>
      <c r="D17" s="54" t="inlineStr">
        <is>
          <t>2020</t>
        </is>
      </c>
      <c r="E17" s="54" t="inlineStr">
        <is>
          <t>Utilities Policy 63:101017. Six-question framework over Piclo Flex, Enera, GOPACS, NODES.</t>
        </is>
      </c>
      <c r="F17" s="54" t="inlineStr">
        <is>
          <t>Verified</t>
        </is>
      </c>
    </row>
    <row r="18" ht="28" customHeight="1">
      <c r="A18" s="51" t="inlineStr">
        <is>
          <t>S15</t>
        </is>
      </c>
      <c r="B18" s="51" t="inlineStr">
        <is>
          <t>CPUC</t>
        </is>
      </c>
      <c r="C18" s="52" t="inlineStr">
        <is>
          <t>D.18-02-004 — Distribution Investment Deferral Framework (R.14-08-013, Track 3)</t>
        </is>
      </c>
      <c r="D18" s="52" t="inlineStr">
        <is>
          <t>2018</t>
        </is>
      </c>
      <c r="E18" s="52" t="inlineStr">
        <is>
          <t>Establishes DIDF; GNA / DDOR annual filings and DPAG process follow from it.</t>
        </is>
      </c>
      <c r="F18" s="52" t="inlineStr">
        <is>
          <t>Verified</t>
        </is>
      </c>
    </row>
    <row r="19">
      <c r="A19" s="53" t="inlineStr">
        <is>
          <t>S16</t>
        </is>
      </c>
      <c r="B19" s="53" t="inlineStr">
        <is>
          <t>Kevala</t>
        </is>
      </c>
      <c r="C19" s="54" t="inlineStr">
        <is>
          <t>DIDF Evaluation</t>
        </is>
      </c>
      <c r="D19" s="54" t="inlineStr">
        <is>
          <t>Nov 2022</t>
        </is>
      </c>
      <c r="E19" s="54" t="inlineStr">
        <is>
          <t>Critical evaluation of the deferral framework's outcomes.</t>
        </is>
      </c>
      <c r="F19" s="54" t="inlineStr">
        <is>
          <t>Verified</t>
        </is>
      </c>
    </row>
    <row r="20" ht="28" customHeight="1">
      <c r="A20" s="51" t="inlineStr">
        <is>
          <t>S17</t>
        </is>
      </c>
      <c r="B20" s="51" t="inlineStr">
        <is>
          <t>Kevala</t>
        </is>
      </c>
      <c r="C20" s="52" t="inlineStr">
        <is>
          <t>Electrification Impacts Study, Part 1</t>
        </is>
      </c>
      <c r="D20" s="52" t="inlineStr">
        <is>
          <t>2023</t>
        </is>
      </c>
      <c r="E20" s="52" t="inlineStr">
        <is>
          <t>Electrification-driven distribution and transformer impacts; stops short of a $ value for degradation.</t>
        </is>
      </c>
      <c r="F20" s="52" t="inlineStr">
        <is>
          <t>Verified</t>
        </is>
      </c>
    </row>
    <row r="21" ht="28" customHeight="1">
      <c r="A21" s="53" t="inlineStr">
        <is>
          <t>S18</t>
        </is>
      </c>
      <c r="B21" s="53" t="inlineStr">
        <is>
          <t>Energy and Environmental Economics (E3)</t>
        </is>
      </c>
      <c r="C21" s="54" t="inlineStr">
        <is>
          <t>MassCEC grid services framework</t>
        </is>
      </c>
      <c r="D21" s="54" t="inlineStr">
        <is>
          <t>—</t>
        </is>
      </c>
      <c r="E21" s="54" t="inlineStr">
        <is>
          <t>Source of the deferral vs. bridge-to-wires organizing distinction and the cost-of-alternative approach.</t>
        </is>
      </c>
      <c r="F21" s="54" t="inlineStr">
        <is>
          <t>Verified</t>
        </is>
      </c>
    </row>
    <row r="22" ht="28" customHeight="1">
      <c r="A22" s="51" t="inlineStr">
        <is>
          <t>S19</t>
        </is>
      </c>
      <c r="B22" s="51" t="inlineStr">
        <is>
          <t>IEEE</t>
        </is>
      </c>
      <c r="C22" s="52" t="inlineStr">
        <is>
          <t>Std C57.91 — Guide for Loading Mineral-Oil-Immersed Transformers</t>
        </is>
      </c>
      <c r="D22" s="52" t="inlineStr">
        <is>
          <t>current</t>
        </is>
      </c>
      <c r="E22" s="52" t="inlineStr">
        <is>
          <t>Aging acceleration factor used in the DLMC degradation component.</t>
        </is>
      </c>
      <c r="F22" s="52" t="inlineStr">
        <is>
          <t>Verified</t>
        </is>
      </c>
    </row>
    <row r="23" ht="28" customHeight="1">
      <c r="A23" s="53" t="inlineStr">
        <is>
          <t>S20</t>
        </is>
      </c>
      <c r="B23" s="53" t="inlineStr">
        <is>
          <t>California Legislature</t>
        </is>
      </c>
      <c r="C23" s="54" t="inlineStr">
        <is>
          <t>SB 410 (Becker, 2023) — Powering Up Californians Act</t>
        </is>
      </c>
      <c r="D23" s="54" t="inlineStr">
        <is>
          <t>2023</t>
        </is>
      </c>
      <c r="E23" s="54" t="inlineStr">
        <is>
          <t>Energization timeline obligations; implementing CPUC rulemaking. Confirm docket number before citing.</t>
        </is>
      </c>
      <c r="F23" s="54" t="inlineStr">
        <is>
          <t>UNVERIFIED (docket)</t>
        </is>
      </c>
    </row>
    <row r="24">
      <c r="A24" s="51" t="inlineStr">
        <is>
          <t>S21</t>
        </is>
      </c>
      <c r="B24" s="51" t="inlineStr">
        <is>
          <t>CPUC</t>
        </is>
      </c>
      <c r="C24" s="52" t="inlineStr">
        <is>
          <t>General Order 166; SAIDI / SAIFI reliability reporting</t>
        </is>
      </c>
      <c r="D24" s="52" t="inlineStr">
        <is>
          <t>current</t>
        </is>
      </c>
      <c r="E24" s="52" t="inlineStr">
        <is>
          <t>Service standard framework; no monetization in ACC or deferral vehicles.</t>
        </is>
      </c>
      <c r="F24" s="52" t="inlineStr">
        <is>
          <t>Verified</t>
        </is>
      </c>
    </row>
    <row r="26" ht="57.75" customHeight="1">
      <c r="A26" s="1" t="inlineStr">
        <is>
          <t>Status 'UNVERIFIED' flags a record where the citation detail noted should be confirmed against the primary document before external use. The substantive claim in the matrix is not in question; the bibliographic detail is.</t>
        </is>
      </c>
    </row>
  </sheetData>
  <mergeCells count="1">
    <mergeCell ref="A26:F26"/>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2026-10-04T02:16:16Z</dcterms:created>
  <dcterms:modified xmlns:dcterms="http://purl.org/dc/terms/" xmlns:xsi="http://www.w3.org/2001/XMLSchema-instance" xsi:type="dcterms:W3CDTF">2026-10-04T03:23:06Z</dcterms:modified>
  <cp:lastModifiedBy>Sean Earley</cp:lastModifiedBy>
  <cp:revision>0</cp:revision>
</cp:coreProperties>
</file>